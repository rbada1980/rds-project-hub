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ROJECTS\Invoice\Project tracker\"/>
    </mc:Choice>
  </mc:AlternateContent>
  <xr:revisionPtr revIDLastSave="0" documentId="13_ncr:1_{2F1EFDFD-6AEF-473A-BF03-C63C3A730D5F}" xr6:coauthVersionLast="47" xr6:coauthVersionMax="47" xr10:uidLastSave="{00000000-0000-0000-0000-000000000000}"/>
  <bookViews>
    <workbookView xWindow="-120" yWindow="-120" windowWidth="29040" windowHeight="15720" xr2:uid="{29CD0C42-E71D-4318-B660-E262C5D3FC38}"/>
  </bookViews>
  <sheets>
    <sheet name="PROJECTS" sheetId="1" r:id="rId1"/>
    <sheet name="PLANNING" sheetId="2" r:id="rId2"/>
    <sheet name="FOR Q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2" i="2" l="1"/>
  <c r="Z37" i="2"/>
  <c r="Z38" i="2" s="1"/>
  <c r="N396" i="1"/>
  <c r="M396" i="1"/>
  <c r="L396" i="1"/>
  <c r="K396" i="1"/>
</calcChain>
</file>

<file path=xl/sharedStrings.xml><?xml version="1.0" encoding="utf-8"?>
<sst xmlns="http://schemas.openxmlformats.org/spreadsheetml/2006/main" count="2333" uniqueCount="723">
  <si>
    <t>PROJECT STATUS</t>
  </si>
  <si>
    <t>Customer</t>
  </si>
  <si>
    <t>Formcrete</t>
  </si>
  <si>
    <t>Last updated date</t>
  </si>
  <si>
    <t>S.No</t>
  </si>
  <si>
    <t>BILL STATUS</t>
  </si>
  <si>
    <t>PROJECT NAME</t>
  </si>
  <si>
    <t>SCOPE</t>
  </si>
  <si>
    <t>COMPONENTS OF WORK</t>
  </si>
  <si>
    <t>REC. DATE</t>
  </si>
  <si>
    <t>STATUS</t>
  </si>
  <si>
    <t>SUB. DATE</t>
  </si>
  <si>
    <t>CUST. REQ. DATE</t>
  </si>
  <si>
    <t>EXP. WT/HRS</t>
  </si>
  <si>
    <t>DET. WT.</t>
  </si>
  <si>
    <t xml:space="preserve"> HRS</t>
  </si>
  <si>
    <t>C.O.</t>
  </si>
  <si>
    <t>DETAILER</t>
  </si>
  <si>
    <t>CHECKER</t>
  </si>
  <si>
    <t>REMARKS</t>
  </si>
  <si>
    <t>4541-Gables Cypress Creek</t>
  </si>
  <si>
    <t>CIP &amp; CMU</t>
  </si>
  <si>
    <t>IN PROGRESS</t>
  </si>
  <si>
    <t>4543 DULCE VIDA</t>
  </si>
  <si>
    <t>Modera Boca Raton</t>
  </si>
  <si>
    <t>NOMI-6</t>
  </si>
  <si>
    <t xml:space="preserve">OLD PROJECTS MODIFICATIONS </t>
  </si>
  <si>
    <t>COMPLETED</t>
  </si>
  <si>
    <t>Totals</t>
  </si>
  <si>
    <t>Note: Submittal dates may change according to client request / RFI Clarification /Priorities</t>
  </si>
  <si>
    <t>BUILDING TYPE-I FOUNDATIONS</t>
  </si>
  <si>
    <t>BUILDING TYPE-I SLAB ON GRADE</t>
  </si>
  <si>
    <t>BUILDING TYPE-I TUNNEL WALLS</t>
  </si>
  <si>
    <t>BUILDING TYPE-I LIFT-1 VERTICALS</t>
  </si>
  <si>
    <t>BUILDING TYPE-I 2ND FLR. SLAB &amp; BEAMS</t>
  </si>
  <si>
    <t>BUILDING TYPE-I LIFT-2 VERTICALS</t>
  </si>
  <si>
    <t>BUILDING TYPE-I 3rd FLR. SLAB &amp; BEAMS</t>
  </si>
  <si>
    <t>BUILDING TYPE-I LIFT-3 VERTICALS</t>
  </si>
  <si>
    <t>BUILDING TYPE-I 4th FLR. SLAB &amp; BEAMS</t>
  </si>
  <si>
    <t>BUILDING TYPE-I LIFT-4 VERTICALS</t>
  </si>
  <si>
    <t>BUILDING TYPE-I 5th FLR. SLAB &amp; BEAMS</t>
  </si>
  <si>
    <t>BUILDING TYPE-I LIFT-5 VERTICALS</t>
  </si>
  <si>
    <t>BUILDING TYPE-I ROOF SLAB &amp; BEAMS WITH PARAPET</t>
  </si>
  <si>
    <t>BUILDING TYPE-II FOUNDATIONS</t>
  </si>
  <si>
    <t>BUILDING TYPE-II SLAB ON GRADE</t>
  </si>
  <si>
    <t>BUILDING TYPE-II TUNNEL WALLS</t>
  </si>
  <si>
    <t>BUILDING TYPE-II LIFT-1 VERTICALS</t>
  </si>
  <si>
    <t>BUILDING TYPE-II 2ND FLR. SLAB &amp; BEAMS</t>
  </si>
  <si>
    <t>BUILDING TYPE-II LIFT-2 VERTICALS</t>
  </si>
  <si>
    <t>BUILDING TYPE-II 3rd FLR. SLAB &amp; BEAMS</t>
  </si>
  <si>
    <t>BUILDING TYPE-II LIFT-3 VERTICALS</t>
  </si>
  <si>
    <t>BUILDING TYPE-II 4th FLR. SLAB &amp; BEAMS</t>
  </si>
  <si>
    <t>BUILDING TYPE-II LIFT-4 VERTICALS</t>
  </si>
  <si>
    <t>BUILDING TYPE-II 5th FLR. SLAB &amp; BEAMS</t>
  </si>
  <si>
    <t>BUILDING TYPE-II LIFT-5 VERTICALS</t>
  </si>
  <si>
    <t>BUILDING TYPE-II ROOF SLAB &amp; BEAMS WITH PARAPET</t>
  </si>
  <si>
    <t>BUILDING TYPE-III FOUNDATIONS</t>
  </si>
  <si>
    <t>BUILDING TYPE-III SLAB ON GRADE</t>
  </si>
  <si>
    <t>BUILDING TYPE-III TUNNEL WALLS</t>
  </si>
  <si>
    <t>BUILDING TYPE-III 2ND FLR. SLAB &amp; BEAMS</t>
  </si>
  <si>
    <t>BUILDING TYPE-III LIFT-2 VERTICALS</t>
  </si>
  <si>
    <t>BUILDING TYPE-III 3rd FLR. SLAB &amp; BEAMS</t>
  </si>
  <si>
    <t>BUILDING TYPE-III LIFT-3 VERTICALS</t>
  </si>
  <si>
    <t>BUILDING TYPE-III 4th FLR. SLAB &amp; BEAMS</t>
  </si>
  <si>
    <t>BUILDING TYPE-III LIFT-4 VERTICALS</t>
  </si>
  <si>
    <t>BUILDING TYPE-III 5th FLR. SLAB &amp; BEAMS</t>
  </si>
  <si>
    <t>BUILDING TYPE-III LIFT-5 VERTICALS</t>
  </si>
  <si>
    <t>BUILDING TYPE-III ROOF SLAB &amp; BEAMS WITH PARAPET</t>
  </si>
  <si>
    <t>BUILDING TYPE-IV FOUNDATIONS</t>
  </si>
  <si>
    <t>BUILDING TYPE-IV SLAB ON GRADE</t>
  </si>
  <si>
    <t>BUILDING TYPE-IV TUNNEL WALLS</t>
  </si>
  <si>
    <t>BUILDING TYPE-IV LIFT-1 VERTICALS</t>
  </si>
  <si>
    <t>BUILDING TYPE-IV 2ND FLR. SLAB &amp; BEAMS</t>
  </si>
  <si>
    <t>BUILDING TYPE-IV LIFT-2 VERTICALS</t>
  </si>
  <si>
    <t>BUILDING TYPE-IV 3rd FLR. SLAB &amp; BEAMS</t>
  </si>
  <si>
    <t>BUILDING TYPE-IV LIFT-3 VERTICALS</t>
  </si>
  <si>
    <t>BUILDING TYPE-IV 4th FLR. SLAB &amp; BEAMS</t>
  </si>
  <si>
    <t>BUILDING TYPE-IV LIFT-4 VERTICALS</t>
  </si>
  <si>
    <t>BUILDING TYPE-IV 5th FLR. SLAB &amp; BEAMS</t>
  </si>
  <si>
    <t>BUILDING TYPE-IV LIFT-5 VERTICALS</t>
  </si>
  <si>
    <t>BUILDING TYPE-IV ROOF SLAB &amp; BEAMS WITH PARAPET</t>
  </si>
  <si>
    <t>BUILDING TYPE-V FOUNDATIONS</t>
  </si>
  <si>
    <t>BUILDING TYPE-V SLAB ON GRADE</t>
  </si>
  <si>
    <t>BUILDING TYPE-V TUNNEL WALLS</t>
  </si>
  <si>
    <t>BUILDING TYPE-V LIFT-1 VERTICALS</t>
  </si>
  <si>
    <t>BUILDING TYPE-V 2ND FLR. SLAB &amp; BEAMS</t>
  </si>
  <si>
    <t>BUILDING TYPE-V LIFT-2 VERTICALS</t>
  </si>
  <si>
    <t>BUILDING TYPE-V 3rd FLR. SLAB &amp; BEAMS</t>
  </si>
  <si>
    <t>BUILDING TYPE-V LIFT-3 VERTICALS</t>
  </si>
  <si>
    <t>BUILDING TYPE-V 4th FLR. SLAB &amp; BEAMS</t>
  </si>
  <si>
    <t>BUILDING TYPE-V LIFT-4 VERTICALS</t>
  </si>
  <si>
    <t>BUILDING TYPE-V 5th FLR. SLAB &amp; BEAMS</t>
  </si>
  <si>
    <t>BUILDING TYPE-V LIFT-5 VERTICALS</t>
  </si>
  <si>
    <t>BUILDING TYPE-V ROOF SLAB &amp; BEAMS WITH PARAPET</t>
  </si>
  <si>
    <t>BIKE STORAGE &amp; PET SPA BLDG.</t>
  </si>
  <si>
    <t>GARAGE TYPE-1</t>
  </si>
  <si>
    <t>TRASH ENCLOSURE</t>
  </si>
  <si>
    <t>GARAGE TYPE-4</t>
  </si>
  <si>
    <t>GARAGE TYPE-2</t>
  </si>
  <si>
    <t>GARAGE TYPE-3</t>
  </si>
  <si>
    <t>POOL PAVILION</t>
  </si>
  <si>
    <t>MAITAINANCE BUIDLING</t>
  </si>
  <si>
    <t>NOT YET STARTED</t>
  </si>
  <si>
    <t>BUILDING TYPE-III LIFT-1 VERTICALS (CMU &amp; COLUMNS)</t>
  </si>
  <si>
    <t>DWG NO.</t>
  </si>
  <si>
    <t>4541_GCC-BTI-R1 TO R1C</t>
  </si>
  <si>
    <t>4541_GCC-BTI-R2 &amp; R2A</t>
  </si>
  <si>
    <t>4541_GCC-BTI-R3 TO R3G</t>
  </si>
  <si>
    <t>4541_GCC-BTII-R1 TO R1C</t>
  </si>
  <si>
    <t>4541_GCC-BTII-R2</t>
  </si>
  <si>
    <t>4541_GCC-BTIII-R1 TO R1C</t>
  </si>
  <si>
    <t>4541_GCC-BTIII-R2</t>
  </si>
  <si>
    <t>4541_GCC-BTIII-R3 TO R3F</t>
  </si>
  <si>
    <t>4541_GCC-BTIII-R4 &amp; R4A</t>
  </si>
  <si>
    <t>4541_GCC-BTIII-R5 TO R5C</t>
  </si>
  <si>
    <t>4541_GCC-BTIV-R1 TO R1G</t>
  </si>
  <si>
    <t>4541_GCC-BTIV-R2 &amp; R2A</t>
  </si>
  <si>
    <t>4541_GCC-BTIV-R3 TO R3J</t>
  </si>
  <si>
    <t>4541_GCC-BTIV-R4 TO R4C</t>
  </si>
  <si>
    <t>4541_GCC-BTV-R1 TO R1D</t>
  </si>
  <si>
    <t>4541_GCC-BS-R1</t>
  </si>
  <si>
    <t>4541_GCC-GT1-R1</t>
  </si>
  <si>
    <t>4541_GCC-TE-R1</t>
  </si>
  <si>
    <t>4541_GCC-GT4-R1</t>
  </si>
  <si>
    <t>4541_GCC-GT2-R1 &amp; R1A</t>
  </si>
  <si>
    <t>4541_GCC-GT3-R1 &amp; R1A</t>
  </si>
  <si>
    <t>4541_GCC-PP-R1 &amp; R1A</t>
  </si>
  <si>
    <t>4541_GCC-MB-R1</t>
  </si>
  <si>
    <t>R1 TO R1E</t>
  </si>
  <si>
    <t>2ND FLOOR SLAB (RESIDENTIAL)</t>
  </si>
  <si>
    <t>R2 TO R2E</t>
  </si>
  <si>
    <t>2ND FLOOR SLAB (GARAGE)</t>
  </si>
  <si>
    <t>R3 TO R3E</t>
  </si>
  <si>
    <t>3RD FLOOR SLAB (RESIDENTIAL)</t>
  </si>
  <si>
    <t>R4 TO R4D</t>
  </si>
  <si>
    <t>3RD FLOOR SLAB (GARAGE)</t>
  </si>
  <si>
    <t>R5 TO R5E</t>
  </si>
  <si>
    <t>4TH FLOOR SLAB (RESIDENTIAL)</t>
  </si>
  <si>
    <t>R6 TO R6D</t>
  </si>
  <si>
    <t>4TH FLOOR SLAB (GARAGE)</t>
  </si>
  <si>
    <t>R7 TO R7E</t>
  </si>
  <si>
    <t>5TH FLOOR SLAB (RESIDENTIAL)</t>
  </si>
  <si>
    <t>R8 TO R8D</t>
  </si>
  <si>
    <t>5TH FLOOR SLAB (GARAGE)</t>
  </si>
  <si>
    <t>R9 TO R9E</t>
  </si>
  <si>
    <t>6TH FLOOR SLAB (RESIDENTIAL)</t>
  </si>
  <si>
    <t>R10 TO R10D</t>
  </si>
  <si>
    <t>6TH FLOOR SLAB (GARAGE)</t>
  </si>
  <si>
    <t>R11 TO R11E</t>
  </si>
  <si>
    <t>7TH FLOOR SLAB (RESIDENTIAL)</t>
  </si>
  <si>
    <t>R12 TO R12D</t>
  </si>
  <si>
    <t>7TH FLOOR SLAB (GARAGE)</t>
  </si>
  <si>
    <t>R13 TO R13E</t>
  </si>
  <si>
    <t>8TH FLOOR SLAB (RESIDENTIAL)</t>
  </si>
  <si>
    <t>R14 TO R14D</t>
  </si>
  <si>
    <t>8TH FLOOR AND ROOF SLAB (GARAGE)</t>
  </si>
  <si>
    <t>R15 TO R15G</t>
  </si>
  <si>
    <t>ROOF SLAB (RESIDENTIAL)</t>
  </si>
  <si>
    <t>R16 &amp; R16A</t>
  </si>
  <si>
    <t>STAIR #1 (GROUND FLOOR TO ROOF)</t>
  </si>
  <si>
    <t>R17 &amp; R17A</t>
  </si>
  <si>
    <t>STAIR #2 (GROUND FLOOR TO ROOF)</t>
  </si>
  <si>
    <t>R18 &amp; R18A</t>
  </si>
  <si>
    <t>STAIR #3 (GROUND FLOOR TO ROOF)</t>
  </si>
  <si>
    <t>R19 &amp; R19A</t>
  </si>
  <si>
    <t>STAIR #4 (GROUND FLOOR TO ROOF)</t>
  </si>
  <si>
    <t>R1</t>
  </si>
  <si>
    <t>BASEMENT SLAB ON GRADE</t>
  </si>
  <si>
    <t>R2 TO R2J</t>
  </si>
  <si>
    <t>GROUND FLOOR SLAB (GARAGE AREA)</t>
  </si>
  <si>
    <t>R3 TO R3B</t>
  </si>
  <si>
    <t>GROUND FLOOR SLAB (RESIDENTIAL AREA)</t>
  </si>
  <si>
    <t>R4 TO R4B</t>
  </si>
  <si>
    <t>BASEMENT RETAINIG WALLS &amp; CMU WALLS</t>
  </si>
  <si>
    <t>R5 TO R5D</t>
  </si>
  <si>
    <t>2ND FLR GARAGE SLAB</t>
  </si>
  <si>
    <t>R6 TO R6G</t>
  </si>
  <si>
    <t>2ND FLR RESIDENTIAL SLAB</t>
  </si>
  <si>
    <t>R7 TO R7D</t>
  </si>
  <si>
    <t>3RD FLR GARAGE SLAB</t>
  </si>
  <si>
    <t>R8 TO R8H</t>
  </si>
  <si>
    <t>3RD FLR RESIDENTIAL SLAB</t>
  </si>
  <si>
    <t>R9 TO R9K</t>
  </si>
  <si>
    <t>SHEAR WALLS (LVL-2 TO LVL-8)</t>
  </si>
  <si>
    <t>R10 TO R10F</t>
  </si>
  <si>
    <t>SHEAR WALLS (LVL-8 TO BULK HEAD)</t>
  </si>
  <si>
    <t>R11 TO R11K</t>
  </si>
  <si>
    <t>LEVEL-2 TO LEVEL-4 COLUMNS</t>
  </si>
  <si>
    <t>4TH FLR GARAGE SLAB</t>
  </si>
  <si>
    <t>R13 TO R13H</t>
  </si>
  <si>
    <t>4TH FLR RESIDENTIAL SLAB</t>
  </si>
  <si>
    <t>5TH FLR GARAGE SLAB</t>
  </si>
  <si>
    <t>R15 TO R15H</t>
  </si>
  <si>
    <t>5TH FLR RESIDENTIAL SLAB</t>
  </si>
  <si>
    <t>R16 TO R16D</t>
  </si>
  <si>
    <t>6TH FLR GARAGE SLAB</t>
  </si>
  <si>
    <t>R17 TO R17H</t>
  </si>
  <si>
    <t>6TH FLR RESIDENTIAL SLAB</t>
  </si>
  <si>
    <t>R18</t>
  </si>
  <si>
    <t>LEVEL-4 TO LEVEL-8 COLUMNS</t>
  </si>
  <si>
    <t>R19</t>
  </si>
  <si>
    <t>7TH FLR SLAB</t>
  </si>
  <si>
    <t>R20</t>
  </si>
  <si>
    <t>8TH FLR SLAB</t>
  </si>
  <si>
    <t>R21</t>
  </si>
  <si>
    <t>R22</t>
  </si>
  <si>
    <t>9TH FLR SLAB</t>
  </si>
  <si>
    <t>R23</t>
  </si>
  <si>
    <t>10TH FLR SLAB</t>
  </si>
  <si>
    <t>R24</t>
  </si>
  <si>
    <t>R25</t>
  </si>
  <si>
    <t>11TH FLR SLAB</t>
  </si>
  <si>
    <t>R26</t>
  </si>
  <si>
    <t>12TH FLR SLAB</t>
  </si>
  <si>
    <t>R27</t>
  </si>
  <si>
    <t>R28</t>
  </si>
  <si>
    <t>12TH MEZZ FLR SLAB</t>
  </si>
  <si>
    <t>R29</t>
  </si>
  <si>
    <t>R30</t>
  </si>
  <si>
    <t>ROOF SLAB</t>
  </si>
  <si>
    <t>R31</t>
  </si>
  <si>
    <t>HIGH ROOF SLAB</t>
  </si>
  <si>
    <t>R32</t>
  </si>
  <si>
    <t>GROUND LEVEL TO 2ND LEVEL TC &amp; CMU WALLS</t>
  </si>
  <si>
    <t>R33</t>
  </si>
  <si>
    <t>2ND LEVEL TO 3RD LEVEL TC &amp; CMU WALLS</t>
  </si>
  <si>
    <t>R34</t>
  </si>
  <si>
    <t>3RD LEVEL TO 4TH LEVEL TC &amp; CMU WALLS</t>
  </si>
  <si>
    <t>R35</t>
  </si>
  <si>
    <t>4TH LEVEL TO 5TH LEVEL TC &amp; CMU WALLS</t>
  </si>
  <si>
    <t>R36</t>
  </si>
  <si>
    <t>5TH LEVEL TO 6TH LEVEL TC &amp; CMU WALLS</t>
  </si>
  <si>
    <t>R37</t>
  </si>
  <si>
    <t>6TH LEVEL TO 7TH LEVEL TC &amp; CMU WALLS</t>
  </si>
  <si>
    <t>R38</t>
  </si>
  <si>
    <t>7TH LEVEL TO 8TH LEVEL TC &amp; CMU WALLS</t>
  </si>
  <si>
    <t>R39</t>
  </si>
  <si>
    <t>8TH LEVEL TO 9TH LEVEL TC &amp; CMU WALLS</t>
  </si>
  <si>
    <t>R40</t>
  </si>
  <si>
    <t>9TH LEVEL TO 10TH LEVEL TC &amp; CMU WALLS</t>
  </si>
  <si>
    <t>R41</t>
  </si>
  <si>
    <t>10TH LEVEL TO 11TH LEVEL TC &amp; CMU WALLS</t>
  </si>
  <si>
    <t>R42</t>
  </si>
  <si>
    <t>11TH LEVEL TO 12TH LEVEL TC &amp; CMU WALLS</t>
  </si>
  <si>
    <t>R43</t>
  </si>
  <si>
    <t>12TH LEVEL TO 12TH MEZZ LEVEL TC &amp; CMU WALLS</t>
  </si>
  <si>
    <t>R44</t>
  </si>
  <si>
    <t>12TH MEZZ LEVEL TO ROOF LEVEL TC &amp; CMU WALLS</t>
  </si>
  <si>
    <t>R45</t>
  </si>
  <si>
    <t>ROOF LEVEL TO HIGH ROOF TC &amp; CMU WALLS</t>
  </si>
  <si>
    <t>R1 &amp; R1A</t>
  </si>
  <si>
    <t>LIFT-1 COLUMN VERTICALS</t>
  </si>
  <si>
    <t>R2 &amp; R2A</t>
  </si>
  <si>
    <t>LIFT-1 &amp; LIFT-2 SHEAR WALLS</t>
  </si>
  <si>
    <t>STEM WALLS</t>
  </si>
  <si>
    <t>LIFT-1 CMU VERTICALS</t>
  </si>
  <si>
    <t>R5 &amp; R5A</t>
  </si>
  <si>
    <t>LIFT-1 STAIRS</t>
  </si>
  <si>
    <t>R6 &amp; R6A</t>
  </si>
  <si>
    <t>PIERS</t>
  </si>
  <si>
    <t>2ND FLOOR SLAB</t>
  </si>
  <si>
    <t>R8 TO R8L</t>
  </si>
  <si>
    <t>LIFT-2 &amp; 3 Columns</t>
  </si>
  <si>
    <t>R9 &amp; R9A</t>
  </si>
  <si>
    <t xml:space="preserve">LIFT-2 &amp; 3 SHEAR WALLS </t>
  </si>
  <si>
    <t>R10 &amp; R10A</t>
  </si>
  <si>
    <t>STAIRS (UP TO LVL.-4)</t>
  </si>
  <si>
    <t>R11 TO R11D</t>
  </si>
  <si>
    <t xml:space="preserve">3RD FLOOR SLAB &amp; BEAMS </t>
  </si>
  <si>
    <t>R12 TO R12H</t>
  </si>
  <si>
    <t xml:space="preserve">4TH FLOOR SLAB &amp; BEAMS </t>
  </si>
  <si>
    <t>R13</t>
  </si>
  <si>
    <t xml:space="preserve">5th FLOOR SLAB &amp; BEAMS </t>
  </si>
  <si>
    <t>R14</t>
  </si>
  <si>
    <t xml:space="preserve">6th FLOOR SLAB &amp; BEAMS </t>
  </si>
  <si>
    <t>R15</t>
  </si>
  <si>
    <t xml:space="preserve">7th FLOOR SLAB &amp; BEAMS </t>
  </si>
  <si>
    <t>R16</t>
  </si>
  <si>
    <t xml:space="preserve">8th FLOOR SLAB &amp; BEAMS </t>
  </si>
  <si>
    <t>R17</t>
  </si>
  <si>
    <t xml:space="preserve">9th FLOOR SLAB &amp; BEAMS </t>
  </si>
  <si>
    <t xml:space="preserve">10th FLOOR SLAB &amp; BEAMS </t>
  </si>
  <si>
    <t xml:space="preserve">11th FLOOR SLAB &amp; BEAMS </t>
  </si>
  <si>
    <t xml:space="preserve">ROOF FLOOR SLAB &amp; BEAMS </t>
  </si>
  <si>
    <t>LIFT-4 &amp; 5 COLUMNS</t>
  </si>
  <si>
    <t xml:space="preserve">LIFT-4 &amp; 5 SHEAR WALLS </t>
  </si>
  <si>
    <t>LIFT-6 &amp; 7 COLUMNS</t>
  </si>
  <si>
    <t xml:space="preserve">LIFT-6 &amp; 7 SHEAR WALLS </t>
  </si>
  <si>
    <t>LIFT-8 &amp; 9 COLUMNS</t>
  </si>
  <si>
    <t xml:space="preserve">LIFT-8 &amp; 9 SHEAR WALLS </t>
  </si>
  <si>
    <t>LIFT-10 &amp; 11 COLUMNS</t>
  </si>
  <si>
    <t xml:space="preserve">LIFT-10 &amp; 11 SHEAR WALLS </t>
  </si>
  <si>
    <t>STAIRS (LEVEL-4 TO LEVEL-6)</t>
  </si>
  <si>
    <t>STAIRS (LEVEL-6 TO LEVEL-8)</t>
  </si>
  <si>
    <t>STAIRS (LEVEL-8 TO LEVEL-10)</t>
  </si>
  <si>
    <t>STAIRS (LEVEL-10 TO LEVEL-ROOF)</t>
  </si>
  <si>
    <t>LIFT-2 CMU VERTICALS</t>
  </si>
  <si>
    <t>LIFT-3 CMU VERTICALS</t>
  </si>
  <si>
    <t>LIFT-4 CMU VERTICALS</t>
  </si>
  <si>
    <t>LIFT-5 CMU VERTICALS</t>
  </si>
  <si>
    <t>LIFT-6 CMU VERTICALS</t>
  </si>
  <si>
    <t>LIFT-7 CMU VERTICALS</t>
  </si>
  <si>
    <t>LIFT-8 CMU VERTICALS</t>
  </si>
  <si>
    <t>LIFT-9 CMU VERTICALS</t>
  </si>
  <si>
    <t>LIFT-10 CMU VERTICALS</t>
  </si>
  <si>
    <t>LIFT-11 CMU VERTICALS</t>
  </si>
  <si>
    <t>R1 TO R1D</t>
  </si>
  <si>
    <t>PILE CAPS</t>
  </si>
  <si>
    <t>GRADE BEAMS</t>
  </si>
  <si>
    <t>SLAB ON GRADE</t>
  </si>
  <si>
    <t>LIFT -1   VERTICALS CMU &amp; COLUMS</t>
  </si>
  <si>
    <t>2ND FLR. SLAB &amp; BEAMS</t>
  </si>
  <si>
    <t>LIFT -2  VERTICALS CMU &amp; COLUMS</t>
  </si>
  <si>
    <t>3RD FLR. SLAB &amp; BEAMS</t>
  </si>
  <si>
    <t>LIFT -3  VERTICALS CMU &amp; COLUMS</t>
  </si>
  <si>
    <t>R10</t>
  </si>
  <si>
    <t>4TH FLR. SLAB &amp; BEAMS</t>
  </si>
  <si>
    <t>R11</t>
  </si>
  <si>
    <t>LIFT -4   VERTICALS CMU &amp; COLUMS</t>
  </si>
  <si>
    <t>R12</t>
  </si>
  <si>
    <t>5TH FLR. SLAB &amp; BEAMS</t>
  </si>
  <si>
    <t>LIFT -5   VERTICALS CMU &amp; COLUMS</t>
  </si>
  <si>
    <t>6TH FLR. SLAB &amp; BEAMS</t>
  </si>
  <si>
    <t>LIFT -6   VERTICALS CMU &amp; COLUMS</t>
  </si>
  <si>
    <t>7TH FLR. SLAB &amp; BEAMS</t>
  </si>
  <si>
    <t>LIFT -7   VERTICALS CMU &amp; COLUMS</t>
  </si>
  <si>
    <t>8TH FLR. SLAB &amp; BEAMS</t>
  </si>
  <si>
    <t>LIFT -8   VERTICALS CMU &amp; COLUMS</t>
  </si>
  <si>
    <t>ROOF SLAB &amp; BEAMS WITH PARAPET</t>
  </si>
  <si>
    <t>2460 Australian (Ocean Tower)</t>
  </si>
  <si>
    <t>BOT-S1 TO S17</t>
  </si>
  <si>
    <t>STEEL COLUMNS</t>
  </si>
  <si>
    <t>STEEL</t>
  </si>
  <si>
    <t>4541_GCC-BTV-R3</t>
  </si>
  <si>
    <t>Sridevi</t>
  </si>
  <si>
    <t>Sai</t>
  </si>
  <si>
    <t>Sai &amp; Swathi</t>
  </si>
  <si>
    <t>Jagadeesh</t>
  </si>
  <si>
    <t>Balaram</t>
  </si>
  <si>
    <t>Swathi</t>
  </si>
  <si>
    <t>EMDS</t>
  </si>
  <si>
    <t>BUILDING TYPE-V FOUNDATIONS (sub#26.1)</t>
  </si>
  <si>
    <t>LEVEL-8 TO ROOF COLUMNS</t>
  </si>
  <si>
    <t>Nanaji</t>
  </si>
  <si>
    <t>Lvl-4 slab markups &amp; barlists</t>
  </si>
  <si>
    <t>EMDS &amp; BARLISTS</t>
  </si>
  <si>
    <t>Bldg. Type IV - Tunnel Walls submittal</t>
  </si>
  <si>
    <t>BARLISTS</t>
  </si>
  <si>
    <t>Satirs</t>
  </si>
  <si>
    <t xml:space="preserve">Main bldg roof slab </t>
  </si>
  <si>
    <t>Garage Lvl-3 to 8 slabs EMDS</t>
  </si>
  <si>
    <t>Building Type - I SOG</t>
  </si>
  <si>
    <t>Building Type - I Tunnel walls</t>
  </si>
  <si>
    <t>Building Type -III Tunnel walls</t>
  </si>
  <si>
    <t>Columns 8th to roof</t>
  </si>
  <si>
    <t>Columns lvl 4 to 8</t>
  </si>
  <si>
    <t>Dhanush</t>
  </si>
  <si>
    <t>Bldg. Type III 2nd floor slab</t>
  </si>
  <si>
    <t>Satirs 1&amp;4 Grnd to L2 addition &amp; barlists</t>
  </si>
  <si>
    <t>Slab edge reinf't addition</t>
  </si>
  <si>
    <t>8"-Wall for Bldg.; Type IV - L1-L2</t>
  </si>
  <si>
    <t>Trisha</t>
  </si>
  <si>
    <t>Tentative Submittal dates</t>
  </si>
  <si>
    <t>Requsted Date</t>
  </si>
  <si>
    <t>Modera Boca Ration</t>
  </si>
  <si>
    <t>2460 Australian Ave</t>
  </si>
  <si>
    <t>BUILDING TYPE-I</t>
  </si>
  <si>
    <t>LIFT-1 VERTICALS</t>
  </si>
  <si>
    <t>2 days</t>
  </si>
  <si>
    <t>next week</t>
  </si>
  <si>
    <t>4 days</t>
  </si>
  <si>
    <t>TURNNEL WALLS Till Roof</t>
  </si>
  <si>
    <t>6 days</t>
  </si>
  <si>
    <t>LIFT-2 VERTICALS</t>
  </si>
  <si>
    <t>1 days</t>
  </si>
  <si>
    <t>3 days</t>
  </si>
  <si>
    <t>mid later next week</t>
  </si>
  <si>
    <t>3rd FLR. SLAB &amp; BEAMS</t>
  </si>
  <si>
    <t>1 day</t>
  </si>
  <si>
    <t>LIFT-3 VERTICALS</t>
  </si>
  <si>
    <t>4th FLR. SLAB &amp; BEAMS</t>
  </si>
  <si>
    <t>LIFT-4 VERTICALS</t>
  </si>
  <si>
    <t>5th FLR. SLAB &amp; BEAMS</t>
  </si>
  <si>
    <t>LIFT-5 VERTICALS</t>
  </si>
  <si>
    <t>5 days</t>
  </si>
  <si>
    <t>BUILDING TYPE-II</t>
  </si>
  <si>
    <t>TUNNEL WALLS</t>
  </si>
  <si>
    <t>4days</t>
  </si>
  <si>
    <t>BUILDING TYPE-III</t>
  </si>
  <si>
    <t>BUILDING TYPE-IV</t>
  </si>
  <si>
    <t>sai</t>
  </si>
  <si>
    <t>BUILDING TYPE-V</t>
  </si>
  <si>
    <t>DONE</t>
  </si>
  <si>
    <t>Team</t>
  </si>
  <si>
    <t>Sai,</t>
  </si>
  <si>
    <t>Boca Helping level.7</t>
  </si>
  <si>
    <t>GCC Bldg. V Tunnel (tomorrow)</t>
  </si>
  <si>
    <t>Austrailan SOG. 23rd</t>
  </si>
  <si>
    <t>Not yet planned. On tuesday</t>
  </si>
  <si>
    <t>GCC. Bldg. IV. 3rd floor</t>
  </si>
  <si>
    <t>balaram</t>
  </si>
  <si>
    <t>Balaram &amp; dhanush Freez. 05/08</t>
  </si>
  <si>
    <t>trisha</t>
  </si>
  <si>
    <t>swathi 24</t>
  </si>
  <si>
    <t xml:space="preserve">So far helping Nanaji and jagadheesh. </t>
  </si>
  <si>
    <t>EMAIL REQUEST</t>
  </si>
  <si>
    <t>All floor balcony bars changed galvanized to black bars</t>
  </si>
  <si>
    <t>STAIR LEVEL 3 TO 4</t>
  </si>
  <si>
    <t>PATCH LIST</t>
  </si>
  <si>
    <t>Patch list for lift-3 column #60</t>
  </si>
  <si>
    <t>Satirs #1 addition work</t>
  </si>
  <si>
    <t>CO</t>
  </si>
  <si>
    <t>Pilecaps &amp; Gradebeams revision per RFI 24,11,12,35&amp;39 responses</t>
  </si>
  <si>
    <t>Change Elevator level -5-0" to -4'-0" &amp; RFI 043, 20</t>
  </si>
  <si>
    <t>Ground Level Rebar Shop Drawings</t>
  </si>
  <si>
    <t>Tunnel walls revision per RFI#35</t>
  </si>
  <si>
    <t>Level-7 slab EMDS</t>
  </si>
  <si>
    <t>Columns 35, 36, and 37 terminate below the pool slab</t>
  </si>
  <si>
    <t>Magnolia Point</t>
  </si>
  <si>
    <t>Hilltop Gardens</t>
  </si>
  <si>
    <t>Altis Delray</t>
  </si>
  <si>
    <t>Building Type I</t>
  </si>
  <si>
    <t>Building Type II</t>
  </si>
  <si>
    <t>Building Type IIM</t>
  </si>
  <si>
    <t>Building Type III</t>
  </si>
  <si>
    <t>Clubhouse</t>
  </si>
  <si>
    <t>Building _1 Type III</t>
  </si>
  <si>
    <t>Building _2 Type II</t>
  </si>
  <si>
    <t>Building _3 Type II</t>
  </si>
  <si>
    <t>Building _4 Type I</t>
  </si>
  <si>
    <t>Building _5 Type I</t>
  </si>
  <si>
    <t>Building _6 Type I</t>
  </si>
  <si>
    <t>BLDG 1 - Foundations &amp; SOG</t>
  </si>
  <si>
    <t>BLDG 1 - 2nd floor slab</t>
  </si>
  <si>
    <t>BLDG 1 - 3rd floor slab</t>
  </si>
  <si>
    <t>BLDG 1 - 4th floor slab</t>
  </si>
  <si>
    <t>BLDG 1 - 5th floor slab</t>
  </si>
  <si>
    <t>BLDG 1 - 6th floor slab</t>
  </si>
  <si>
    <t>BLDG 1 - Roof level slab</t>
  </si>
  <si>
    <t>BLDG 1 - Lift-1 verticals</t>
  </si>
  <si>
    <t>BLDG 1 - Lift-2 verticals</t>
  </si>
  <si>
    <t>BLDG 1 - Lift-3 verticals</t>
  </si>
  <si>
    <t>BLDG 1 - Lift-4 verticals</t>
  </si>
  <si>
    <t>BLDG 1 - Lift-5 verticals</t>
  </si>
  <si>
    <t>BLDG 2 - Foundations &amp; SOG</t>
  </si>
  <si>
    <t>BLDG 2 - 2nd floor slab</t>
  </si>
  <si>
    <t>BLDG 2 - 4th floor slab</t>
  </si>
  <si>
    <t>BLDG 2 - 3rd floor slab</t>
  </si>
  <si>
    <t>BLDG 2 - 5th floor slab</t>
  </si>
  <si>
    <t>BLDG 2 - 6th floor slab</t>
  </si>
  <si>
    <t>BLDG 2 - Roof level slab</t>
  </si>
  <si>
    <t>BLDG 2 - Lift-1 verticals</t>
  </si>
  <si>
    <t>BLDG 2 - Lift-2 verticals</t>
  </si>
  <si>
    <t>BLDG 2 - Lift-3 verticals</t>
  </si>
  <si>
    <t>BLDG 2 - Lift-4 verticals</t>
  </si>
  <si>
    <t>BLDG 2 - Lift-5 verticals</t>
  </si>
  <si>
    <t>BLDG 3 - Foundations &amp; SOG</t>
  </si>
  <si>
    <t>BLDG 3 - 3rd floor slab</t>
  </si>
  <si>
    <t>BLDG 3 - 4th floor slab</t>
  </si>
  <si>
    <t>BLDG 3 - 5th floor slab</t>
  </si>
  <si>
    <t>BLDG 3 - 6th floor slab</t>
  </si>
  <si>
    <t>BLDG 3 - Roof level slab</t>
  </si>
  <si>
    <t>BLDG 3 - Lift-1 verticals</t>
  </si>
  <si>
    <t>BLDG 3 - Lift-2 verticals</t>
  </si>
  <si>
    <t>BLDG 3 - Lift-3 verticals</t>
  </si>
  <si>
    <t>BLDG 3 - Lift-4 verticals</t>
  </si>
  <si>
    <t>BLDG 3 - Lift-5 verticals</t>
  </si>
  <si>
    <t>BLDG 3 - 2nd floor slab</t>
  </si>
  <si>
    <t>BLDG 4 - 2nd floor slab</t>
  </si>
  <si>
    <t>BLDG 4 - 3rd floor slab</t>
  </si>
  <si>
    <t>BLDG 4 - 4th floor slab</t>
  </si>
  <si>
    <t>BLDG 4 - 5th floor slab</t>
  </si>
  <si>
    <t>BLDG 4 - Roof level slab</t>
  </si>
  <si>
    <t>BLDG 4 - Lift-1 verticals</t>
  </si>
  <si>
    <t>BLDG 4 - Lift-2 verticals</t>
  </si>
  <si>
    <t>BLDG 4 - Lift-3 verticals</t>
  </si>
  <si>
    <t>BLDG 4 - Lift-4 verticals</t>
  </si>
  <si>
    <t>BLDG 4 - Foundations &amp; SOG</t>
  </si>
  <si>
    <t>Clubhouse - Foundations &amp; SOG</t>
  </si>
  <si>
    <t>Clubhouse - Lift-1 verticals</t>
  </si>
  <si>
    <t>Clubhouse - Roof slab</t>
  </si>
  <si>
    <t>Trash enclosure</t>
  </si>
  <si>
    <t>Clubhouse - Parapet &amp; Trellis slab</t>
  </si>
  <si>
    <t>Bldg. Type II - SOG</t>
  </si>
  <si>
    <t>Columns Lvl-4 to 5 pour separation</t>
  </si>
  <si>
    <t>All slabs balconies galv bars.</t>
  </si>
  <si>
    <t>Bldg. Type I &amp; II RFI #98 fnds revision</t>
  </si>
  <si>
    <t>LIFT-4 COLUMNS</t>
  </si>
  <si>
    <t>R4 TO R4C</t>
  </si>
  <si>
    <t>columns, shear walls, slabs &amp; stairs</t>
  </si>
  <si>
    <t>Bldg. Type IV - Level-2</t>
  </si>
  <si>
    <t>Ground Level Slab FFU drawings and bar lists. RFI #79</t>
  </si>
  <si>
    <t>Submittal 13- Ground Floor Slab</t>
  </si>
  <si>
    <t>Submittal 10- Steel Column Shop Drawings</t>
  </si>
  <si>
    <t>Adela II</t>
  </si>
  <si>
    <t>Complete</t>
  </si>
  <si>
    <t>Octavia</t>
  </si>
  <si>
    <t>Steel columns</t>
  </si>
  <si>
    <t>remaining bldgs walls updated dwgs</t>
  </si>
  <si>
    <t>lvl-5 barlists &amp; lvl-4 release separation</t>
  </si>
  <si>
    <t>Lvl-2 drop beams for savers.</t>
  </si>
  <si>
    <t>Upper roof slab &amp; beams</t>
  </si>
  <si>
    <t>Sector-A 2nd floor slab &amp; beams</t>
  </si>
  <si>
    <t>Sector-B 2nd floor slab &amp; beams</t>
  </si>
  <si>
    <t>Sector-A 3rd floor slab &amp; beams</t>
  </si>
  <si>
    <t>Sector-A 4th floor slab &amp; beams</t>
  </si>
  <si>
    <t>Sector-A 5th floor slab &amp; beams</t>
  </si>
  <si>
    <t>Sector-A 6th floor slab &amp; beams</t>
  </si>
  <si>
    <t>Sector-A 7th floor slab &amp; beams</t>
  </si>
  <si>
    <t>Sector-A 8th floor slab &amp; beams</t>
  </si>
  <si>
    <t>Sector-A Roof floor slab &amp; beams</t>
  </si>
  <si>
    <t>Sector-B 3rd floor slab &amp; beams</t>
  </si>
  <si>
    <t>Sector-B 4th floor slab &amp; beams</t>
  </si>
  <si>
    <t>Sector-B 5th floor slab &amp; beams</t>
  </si>
  <si>
    <t>Sector-B 6th floor slab &amp; beams</t>
  </si>
  <si>
    <t>Sector-B 7th floor slab &amp; beams</t>
  </si>
  <si>
    <t>Sector-B 8th floor slab &amp; beams</t>
  </si>
  <si>
    <t>Sector-B Roof floor slab &amp; beams</t>
  </si>
  <si>
    <t>Sector-A Level-1.5 slab &amp; beams</t>
  </si>
  <si>
    <t>R5 TO R5T</t>
  </si>
  <si>
    <t>All bldgs tunnel walls candycane bars</t>
  </si>
  <si>
    <t>slabs markups</t>
  </si>
  <si>
    <t>Sector-A Slab on grade</t>
  </si>
  <si>
    <t>Sector-B Slab on grade</t>
  </si>
  <si>
    <t>Sector-A Stairs</t>
  </si>
  <si>
    <t>Sector-B Stairs</t>
  </si>
  <si>
    <t>Sector-A Columns</t>
  </si>
  <si>
    <t>Sector-B Columns</t>
  </si>
  <si>
    <t>Sector-A Shear walls</t>
  </si>
  <si>
    <t>Sector-B Shear walls</t>
  </si>
  <si>
    <t>4541-Gables Cypress Creek (BLDG-TYPE-4)</t>
  </si>
  <si>
    <t>R5 TO R5H</t>
  </si>
  <si>
    <t>NOMI 6</t>
  </si>
  <si>
    <t>4TH LEVEL TO 8TH LEVEL COLUMNS</t>
  </si>
  <si>
    <t>R18  TO R18Z</t>
  </si>
  <si>
    <t>R2</t>
  </si>
  <si>
    <t>SHEAR WALL LIFT-4</t>
  </si>
  <si>
    <t>R14 &amp; R14A</t>
  </si>
  <si>
    <t>8TH LEVEL TO ROOF COLUMNS</t>
  </si>
  <si>
    <t>R19  TO R19R</t>
  </si>
  <si>
    <t>Brakers Ocean Tower</t>
  </si>
  <si>
    <t xml:space="preserve">PILE CAPS </t>
  </si>
  <si>
    <t>2460 Australian Ave (Brakers Ocean Tower)</t>
  </si>
  <si>
    <t>TUNNEL WALLS (SOG TO ROOF)</t>
  </si>
  <si>
    <t xml:space="preserve"> COMPONENT OF WORK</t>
  </si>
  <si>
    <t>DWG#</t>
  </si>
  <si>
    <t>SWA</t>
  </si>
  <si>
    <t>SWA/SAI</t>
  </si>
  <si>
    <t>JGD</t>
  </si>
  <si>
    <t>BLM</t>
  </si>
  <si>
    <t>DNS</t>
  </si>
  <si>
    <t>QC STATUS</t>
  </si>
  <si>
    <t>S.NO</t>
  </si>
  <si>
    <t>M:\PROJECTS\Rebar\Projects 2026\RDS\Formcrete\4541-Gables Cypress Creek\For Qc\Building - IV\2026-04-09</t>
  </si>
  <si>
    <t>M:\PROJECTS\Rebar\Projects 2026\RDS\Formcrete\NOMI-6\FOR QC\2026-04-04\4TH FLR. SLAB &amp; BEAMS</t>
  </si>
  <si>
    <t>M:\PROJECTS\Rebar\Projects 2026\RDS\Formcrete\Modera Boca Raton\FOR Q.C\2026-04-11\COUMNS (LVL.-4 TO LVL-8)</t>
  </si>
  <si>
    <t>M:\PROJECTS\Rebar\Projects 2026\RDS\Formcrete\4541-Gables Cypress Creek\For Qc\BUILDING-V\2026-04-13\Slab On Grade</t>
  </si>
  <si>
    <t>M:\PROJECTS\Rebar\Projects 2026\RDS\Formcrete\NOMI-6\FOR QC\2026-04-15\Shear Walls Lift-4</t>
  </si>
  <si>
    <t>M:\PROJECTS\Rebar\Projects 2026\RDS\Formcrete\Modera Boca Raton\FOR Q.C\2026-04-17\COLUMNS 8TH TO ROOF</t>
  </si>
  <si>
    <t>M:\PROJECTS\Rebar\Projects 2026\RDS\Formcrete\Brakers Ocean Tower\FOR QC\2026-04-20\Slab On Grade</t>
  </si>
  <si>
    <t>M:\PROJECTS\Rebar\Projects 2026\RDS\Formcrete\Brakers Ocean Tower\FOR QC\2026-04-24\LIFT-1 VERTICALS</t>
  </si>
  <si>
    <t>M:\PROJECTS\Rebar\Projects 2026\RDS\Formcrete\2460 Australian Ave (Brakers Ocean Tower)\FOR QC\2026-04-27</t>
  </si>
  <si>
    <t>M:\PROJECTS\Rebar\Projects 2026\RDS\Formcrete\2460 Australian Ave (Brakers Ocean Tower)\FOR QC\2026-04-30\Tunnel Walls (Sog To Roof)</t>
  </si>
  <si>
    <t>FILE PATH/LOCATION</t>
  </si>
  <si>
    <t>SUBMITTED FOR QC DATE
 (MM/DD/YYYY)</t>
  </si>
  <si>
    <t>SUBMITTED FOR QC TIME
 (HH:MM AM/PM)</t>
  </si>
  <si>
    <t>CLIENT SUBMISSION DATE
 (MM/DD/YYYY)</t>
  </si>
  <si>
    <t>ALREADY SUB ON 04/10</t>
  </si>
  <si>
    <t>ALREADY SUB ON 04/13</t>
  </si>
  <si>
    <t>ALREADY SUB ON 04/15</t>
  </si>
  <si>
    <t>ALREADY SUB ON 04/17</t>
  </si>
  <si>
    <t>ALREADY SUB ON 04/20</t>
  </si>
  <si>
    <t>ALREADY SUB ON 04/24</t>
  </si>
  <si>
    <t>LIFT-5&amp;6 COLUMNS</t>
  </si>
  <si>
    <t>LIFT-7 &amp; 8 COLUMNS</t>
  </si>
  <si>
    <t>LIFT-9 &amp; 10 COLUMNS</t>
  </si>
  <si>
    <t>LIFT-11 COLUMNS</t>
  </si>
  <si>
    <t xml:space="preserve">Pour separation </t>
  </si>
  <si>
    <t>Sector-A Foundations - Cont. ftgs</t>
  </si>
  <si>
    <t>Sector-B Foundations - Cont. ftgs</t>
  </si>
  <si>
    <t>detailing time if profiles are completed</t>
  </si>
  <si>
    <t>RFI responses 86 &amp; 95.1</t>
  </si>
  <si>
    <t>Revision per RFI #50, #67, #78 responses</t>
  </si>
  <si>
    <t>Alexan margrate</t>
  </si>
  <si>
    <t>steel columns EMDS</t>
  </si>
  <si>
    <t>Pet Wash details addition</t>
  </si>
  <si>
    <t>Columns level 2 to Level 4</t>
  </si>
  <si>
    <t>RFI responses 25 &amp; 27</t>
  </si>
  <si>
    <t>BLDG 1 - Parapet walls</t>
  </si>
  <si>
    <t>BLDG 1 - Lift-6 verticals</t>
  </si>
  <si>
    <t>BLDG 2 - Lift-6 verticals</t>
  </si>
  <si>
    <t>BLDG 2 - Parapet walls</t>
  </si>
  <si>
    <t>BLDG 3 - Lift-6 verticals</t>
  </si>
  <si>
    <t>BLDG 3 - Parapet walls</t>
  </si>
  <si>
    <t>BLDG 5 - Foundations &amp; SOG</t>
  </si>
  <si>
    <t>BLDG 5 - 2nd floor slab</t>
  </si>
  <si>
    <t>BLDG 5 - 3rd floor slab</t>
  </si>
  <si>
    <t>BLDG 5 - Roof level slab</t>
  </si>
  <si>
    <t>BLDG 5 - Lift-1 verticals</t>
  </si>
  <si>
    <t>BLDG 5 - Lift-2 verticals</t>
  </si>
  <si>
    <t>BLDG 5 - Parapet verticals</t>
  </si>
  <si>
    <t>BLDG 5 - Lift-3 verticals</t>
  </si>
  <si>
    <t>BLDG 4 - Lift-5 verticals</t>
  </si>
  <si>
    <t>BLDG 4 - Parapet verticals</t>
  </si>
  <si>
    <t>Sector-A Foundations - Pad ftgs</t>
  </si>
  <si>
    <t>Sector-B Foundations - Pad ftgs</t>
  </si>
  <si>
    <t>Sector-A Foundations - Deep ftgs</t>
  </si>
  <si>
    <t>Sector-B Foundations - Deep ftgs</t>
  </si>
  <si>
    <t>14 days</t>
  </si>
  <si>
    <t>10 days</t>
  </si>
  <si>
    <t>Building Type V - SOG</t>
  </si>
  <si>
    <t>SHEAR WALL LIFT-6 &amp; 7</t>
  </si>
  <si>
    <t>R23 &amp; R23A</t>
  </si>
  <si>
    <t>SAI</t>
  </si>
  <si>
    <t>M:\PROJECTS\Rebar\Projects 2026\RDS\Formcrete\NOMI-6\FOR QC\2026-05-08\LIFT-6 &amp; 7 SHEAR WALL VERT</t>
  </si>
  <si>
    <t>male to female savers.</t>
  </si>
  <si>
    <t>Missing rebar for slab transitions on pool deck slab</t>
  </si>
  <si>
    <t>Balaram &amp; Swathi</t>
  </si>
  <si>
    <t xml:space="preserve">grade 80 grade 60 bars </t>
  </si>
  <si>
    <t>RETAIINING WALL</t>
  </si>
  <si>
    <t>R6 , R6A TO R6J</t>
  </si>
  <si>
    <t>R7, R7A &amp; R7B</t>
  </si>
  <si>
    <t>SK1</t>
  </si>
  <si>
    <t>R8 , R8A TO R8F</t>
  </si>
  <si>
    <t>R9 , R9A &amp; R9B</t>
  </si>
  <si>
    <t>R1, R1A TO R1D</t>
  </si>
  <si>
    <t>R2, R2A TO R2D</t>
  </si>
  <si>
    <t>R3, R3A TO R3E</t>
  </si>
  <si>
    <t>R4, R4A TO R4C</t>
  </si>
  <si>
    <t>R5, R5A TO R5T</t>
  </si>
  <si>
    <t>BLDG 3 Type V - Foundations &amp; SOG</t>
  </si>
  <si>
    <t>BLDG 3 Type V - 2nd floor slab</t>
  </si>
  <si>
    <t>BLDG 3 Type V - 3rd floor slab</t>
  </si>
  <si>
    <t>BLDG 3 Type V - 4th floor slab</t>
  </si>
  <si>
    <t>BLDG 3 Type V - 5th floor slab</t>
  </si>
  <si>
    <t>BLDG 3 Type V - 6th floor slab</t>
  </si>
  <si>
    <t>BLDG 3 Type V - Roof level slab</t>
  </si>
  <si>
    <t>BLDG 3 Type V - Lift-1 verticals</t>
  </si>
  <si>
    <t>BLDG 3 Type V - Lift-2 verticals</t>
  </si>
  <si>
    <t>BLDG 3 Type V - Lift-3 verticals</t>
  </si>
  <si>
    <t>BLDG 3 Type V - Lift-4 verticals</t>
  </si>
  <si>
    <t>BLDG 3 Type V - Lift-5 verticals</t>
  </si>
  <si>
    <t>BLDG 3 Type V - Lift-6 &amp; parapet verticals</t>
  </si>
  <si>
    <t>BLDG 3 Type V</t>
  </si>
  <si>
    <t>BLDG 1 Type II - 2nd floor slab</t>
  </si>
  <si>
    <t>BLDG 1 Type II - 3rd floor slab</t>
  </si>
  <si>
    <t>BLDG 1 Type II - 4th floor slab</t>
  </si>
  <si>
    <t>BLDG 1 Type II - 5th floor slab</t>
  </si>
  <si>
    <t>BLDG 1 Type II - 6th floor slab</t>
  </si>
  <si>
    <t>BLDG 1 Type II - Roof level slab</t>
  </si>
  <si>
    <t>BLDG 1 Type II - Lift-1 verticals</t>
  </si>
  <si>
    <t>BLDG 1 Type II - Lift-2 verticals</t>
  </si>
  <si>
    <t>BLDG 1 Type II - Lift-3 verticals</t>
  </si>
  <si>
    <t>BLDG 1 Type II - Lift-4 verticals</t>
  </si>
  <si>
    <t>BLDG 1 Type II - Lift-5 verticals</t>
  </si>
  <si>
    <t>BLDG 1 Type II - Lift-6 &amp; parapet verticals</t>
  </si>
  <si>
    <t>BLDG 1 Type II - Foundations &amp; SOG</t>
  </si>
  <si>
    <t>BLDG 1 Type II</t>
  </si>
  <si>
    <t>BLDG 2 Type VI - 2nd floor slab</t>
  </si>
  <si>
    <t>BLDG 2 Type VI - 3rd floor slab</t>
  </si>
  <si>
    <t>BLDG 2 Type VI - 4th floor slab</t>
  </si>
  <si>
    <t>BLDG 2 Type VI - 5th floor slab</t>
  </si>
  <si>
    <t>BLDG 2 Type VI - 6th floor slab</t>
  </si>
  <si>
    <t>BLDG 2 Type VI - Roof level slab</t>
  </si>
  <si>
    <t>BLDG 2 Type VI - Lift-1 verticals</t>
  </si>
  <si>
    <t>BLDG 2 Type VI - Lift-2 verticals</t>
  </si>
  <si>
    <t>BLDG 2 Type VI - Lift-3 verticals</t>
  </si>
  <si>
    <t>BLDG 2 Type VI - Lift-4 verticals</t>
  </si>
  <si>
    <t>BLDG 2 Type VI - Lift-5 verticals</t>
  </si>
  <si>
    <t>BLDG 2 Type VI - Lift-6 &amp; parapet verticals</t>
  </si>
  <si>
    <t>BLDG 2 Type VI - Foundations &amp; SOG</t>
  </si>
  <si>
    <t>BLDG 2 Type VI</t>
  </si>
  <si>
    <t>BLDG 5 Type VII - Foundations &amp; SOG</t>
  </si>
  <si>
    <t>BLDG 5 Type VII - 2nd floor slab</t>
  </si>
  <si>
    <t>BLDG 5 Type VII - 3rd floor slab</t>
  </si>
  <si>
    <t>BLDG 5 Type VII - Roof level slab</t>
  </si>
  <si>
    <t>BLDG 5 Type VII - Lift-1 verticals</t>
  </si>
  <si>
    <t>BLDG 5 Type VII - Lift-2 verticals</t>
  </si>
  <si>
    <t>BLDG 5 Type VII - Lift-3 &amp; parapet verticals</t>
  </si>
  <si>
    <t>BLDG 4 Type III - 2nd floor slab</t>
  </si>
  <si>
    <t>BLDG 4 Type III - 3rd floor slab</t>
  </si>
  <si>
    <t>BLDG 4 Type III - 4th floor slab</t>
  </si>
  <si>
    <t>BLDG 4 Type III - 5th floor slab</t>
  </si>
  <si>
    <t>BLDG 4 Type III - Roof level slab</t>
  </si>
  <si>
    <t>BLDG 4 Type III - Lift-1 verticals</t>
  </si>
  <si>
    <t>BLDG 4 Type III - Lift-2 verticals</t>
  </si>
  <si>
    <t>BLDG 4 Type III - Lift-3 verticals</t>
  </si>
  <si>
    <t>BLDG 4 Type III - Lift-4 verticals</t>
  </si>
  <si>
    <t>BLDG 4 Type III - Lift-5 &amp; parapet verticals</t>
  </si>
  <si>
    <t>BLDG 4 Type III - Foundations &amp; SOG</t>
  </si>
  <si>
    <t>BLDG 4 Type III</t>
  </si>
  <si>
    <t>BLDG 5 Type VII</t>
  </si>
  <si>
    <t>Elevator mat footings</t>
  </si>
  <si>
    <t>Chandra mouli</t>
  </si>
  <si>
    <t>ELEVATOR, STAIR LIDS &amp; PARAPET WALLS</t>
  </si>
  <si>
    <t>STAIRS (LEVEL-6 TO ROOF)</t>
  </si>
  <si>
    <t>Deep footings</t>
  </si>
  <si>
    <t>Garage - Cont ftgs</t>
  </si>
  <si>
    <t>Residence - Cont ftgs</t>
  </si>
  <si>
    <t>Garage Slab on grade</t>
  </si>
  <si>
    <t>Residence Slab on grade</t>
  </si>
  <si>
    <t>Garage Shear walls</t>
  </si>
  <si>
    <t>Residence Shear walls</t>
  </si>
  <si>
    <t>Garage Columns</t>
  </si>
  <si>
    <t>Residence Columns</t>
  </si>
  <si>
    <t>Garage Stairs</t>
  </si>
  <si>
    <t>Residence Stairs</t>
  </si>
  <si>
    <t>GarageLevel-1.5 slab &amp; beams</t>
  </si>
  <si>
    <t>Residence 2nd floor slab &amp; beams</t>
  </si>
  <si>
    <t>Garage 2nd floor slab &amp; beams</t>
  </si>
  <si>
    <t>Garage 3rd floor slab &amp; beams</t>
  </si>
  <si>
    <t>Residence 3rd floor slab &amp; beams</t>
  </si>
  <si>
    <t>Residence 4th floor slab &amp; beams</t>
  </si>
  <si>
    <t>Residence 5th floor slab &amp; beams</t>
  </si>
  <si>
    <t>Residence 6th floor slab &amp; beams</t>
  </si>
  <si>
    <t>Residence7th floor slab &amp; beams</t>
  </si>
  <si>
    <t>Residence 8th floor slab &amp; beams</t>
  </si>
  <si>
    <t>Residence Roof floor slab &amp; beams</t>
  </si>
  <si>
    <t>Garage 4th floor slab &amp; beams</t>
  </si>
  <si>
    <t>Garage 5th floor slab &amp; beams</t>
  </si>
  <si>
    <t>Garage 6th floor slab &amp; beams</t>
  </si>
  <si>
    <t>Garage 7th floor slab &amp; beams</t>
  </si>
  <si>
    <t>Garage 8th floor slab &amp; beams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</si>
</sst>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mm/dd/yy;@"/>
    <numFmt numFmtId="166" formatCode="0.000"/>
    <numFmt numFmtId="167" formatCode="mm\-dd\-yyyy"/>
    <numFmt numFmtId="168" formatCode="hh:mm\ AM/PM;@"/>
  </numFmts>
  <fonts count="19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2060"/>
      <name val="Calibri"/>
      <family val="2"/>
      <charset val="1"/>
    </font>
    <font>
      <b/>
      <sz val="11"/>
      <color rgb="FF002060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i/>
      <sz val="12"/>
      <color rgb="FF1F4E78"/>
      <name val="Calibri"/>
      <family val="2"/>
      <charset val="1"/>
    </font>
    <font>
      <sz val="11"/>
      <color rgb="FFFF0000"/>
      <name val="Calibri"/>
      <family val="2"/>
    </font>
    <font>
      <sz val="11"/>
      <color theme="4" tint="0.39997558519241921"/>
      <name val="Calibri"/>
      <family val="2"/>
    </font>
    <font>
      <sz val="11"/>
      <color theme="7"/>
      <name val="Calibri"/>
      <family val="2"/>
    </font>
    <font>
      <sz val="11"/>
      <color theme="9"/>
      <name val="Calibri"/>
      <family val="2"/>
    </font>
    <font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9CC00"/>
        <bgColor rgb="FFA9D18E"/>
      </patternFill>
    </fill>
    <fill>
      <patternFill patternType="solid">
        <fgColor rgb="FFE2F0D9"/>
        <bgColor rgb="FFDDDDDD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DDDDD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E5D6"/>
        <bgColor rgb="FFFFF2CC"/>
      </patternFill>
    </fill>
    <fill>
      <patternFill patternType="solid">
        <fgColor theme="0"/>
        <bgColor rgb="FF99CCFF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4" fontId="1" fillId="5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left" vertical="center"/>
    </xf>
    <xf numFmtId="0" fontId="3" fillId="9" borderId="10" xfId="0" applyFont="1" applyFill="1" applyBorder="1" applyAlignment="1">
      <alignment horizontal="center" vertical="center"/>
    </xf>
    <xf numFmtId="14" fontId="4" fillId="9" borderId="10" xfId="0" applyNumberFormat="1" applyFont="1" applyFill="1" applyBorder="1" applyAlignment="1">
      <alignment horizontal="center" vertical="center"/>
    </xf>
    <xf numFmtId="14" fontId="5" fillId="9" borderId="10" xfId="0" applyNumberFormat="1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 vertical="center" wrapText="1"/>
    </xf>
    <xf numFmtId="14" fontId="6" fillId="3" borderId="15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14" fontId="1" fillId="5" borderId="4" xfId="0" applyNumberFormat="1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2" fillId="3" borderId="4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14" fontId="1" fillId="7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165" fontId="3" fillId="12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14" fontId="8" fillId="5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0" fillId="0" borderId="4" xfId="0" applyBorder="1"/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24" xfId="0" applyBorder="1"/>
    <xf numFmtId="0" fontId="1" fillId="11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 wrapText="1"/>
    </xf>
    <xf numFmtId="0" fontId="1" fillId="13" borderId="4" xfId="0" applyFont="1" applyFill="1" applyBorder="1" applyAlignment="1">
      <alignment horizontal="left" vertical="center" wrapText="1"/>
    </xf>
    <xf numFmtId="0" fontId="1" fillId="13" borderId="0" xfId="0" applyFont="1" applyFill="1" applyAlignment="1">
      <alignment horizontal="left" vertical="center" wrapText="1"/>
    </xf>
    <xf numFmtId="0" fontId="9" fillId="11" borderId="4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 wrapText="1"/>
    </xf>
    <xf numFmtId="0" fontId="12" fillId="15" borderId="4" xfId="0" applyFont="1" applyFill="1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12" fillId="4" borderId="25" xfId="0" applyFont="1" applyFill="1" applyBorder="1" applyAlignment="1">
      <alignment horizontal="left" vertical="center"/>
    </xf>
    <xf numFmtId="167" fontId="12" fillId="0" borderId="25" xfId="0" applyNumberFormat="1" applyFont="1" applyBorder="1" applyAlignment="1">
      <alignment horizontal="center" vertical="center"/>
    </xf>
    <xf numFmtId="0" fontId="12" fillId="4" borderId="25" xfId="0" applyFont="1" applyFill="1" applyBorder="1" applyAlignment="1">
      <alignment horizontal="left" vertical="center" wrapText="1"/>
    </xf>
    <xf numFmtId="0" fontId="13" fillId="14" borderId="26" xfId="0" applyFont="1" applyFill="1" applyBorder="1" applyAlignment="1">
      <alignment horizontal="center" vertical="center"/>
    </xf>
    <xf numFmtId="0" fontId="13" fillId="14" borderId="27" xfId="0" applyFont="1" applyFill="1" applyBorder="1" applyAlignment="1">
      <alignment horizontal="center" vertical="center"/>
    </xf>
    <xf numFmtId="0" fontId="13" fillId="14" borderId="27" xfId="0" applyFont="1" applyFill="1" applyBorder="1" applyAlignment="1">
      <alignment horizontal="center" vertical="center" wrapText="1"/>
    </xf>
    <xf numFmtId="0" fontId="13" fillId="14" borderId="28" xfId="0" applyFont="1" applyFill="1" applyBorder="1" applyAlignment="1">
      <alignment horizontal="center" vertical="center" wrapText="1"/>
    </xf>
    <xf numFmtId="168" fontId="12" fillId="0" borderId="4" xfId="0" applyNumberFormat="1" applyFont="1" applyBorder="1" applyAlignment="1">
      <alignment horizontal="center" vertical="center"/>
    </xf>
    <xf numFmtId="167" fontId="12" fillId="4" borderId="10" xfId="0" applyNumberFormat="1" applyFont="1" applyFill="1" applyBorder="1" applyAlignment="1">
      <alignment horizontal="center" vertical="center"/>
    </xf>
    <xf numFmtId="168" fontId="12" fillId="4" borderId="10" xfId="0" applyNumberFormat="1" applyFont="1" applyFill="1" applyBorder="1" applyAlignment="1">
      <alignment horizontal="center" vertical="center"/>
    </xf>
    <xf numFmtId="167" fontId="12" fillId="4" borderId="4" xfId="0" applyNumberFormat="1" applyFont="1" applyFill="1" applyBorder="1" applyAlignment="1">
      <alignment horizontal="center" vertical="center"/>
    </xf>
    <xf numFmtId="168" fontId="12" fillId="0" borderId="25" xfId="0" applyNumberFormat="1" applyFont="1" applyBorder="1" applyAlignment="1">
      <alignment horizontal="center" vertical="center"/>
    </xf>
    <xf numFmtId="168" fontId="12" fillId="4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4" fillId="4" borderId="4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166" fontId="1" fillId="11" borderId="4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left" vertical="center" wrapText="1"/>
    </xf>
    <xf numFmtId="0" fontId="17" fillId="4" borderId="4" xfId="0" applyFont="1" applyFill="1" applyBorder="1" applyAlignment="1">
      <alignment horizontal="left" vertical="center" wrapText="1"/>
    </xf>
    <xf numFmtId="0" fontId="14" fillId="11" borderId="4" xfId="0" applyFont="1" applyFill="1" applyBorder="1" applyAlignment="1">
      <alignment horizontal="left" vertical="center" wrapText="1"/>
    </xf>
    <xf numFmtId="14" fontId="18" fillId="0" borderId="4" xfId="0" applyNumberFormat="1" applyFont="1" applyBorder="1" applyAlignment="1">
      <alignment horizontal="center" vertical="center"/>
    </xf>
    <xf numFmtId="0" fontId="3" fillId="11" borderId="16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 wrapText="1"/>
    </xf>
    <xf numFmtId="164" fontId="6" fillId="3" borderId="20" xfId="0" applyNumberFormat="1" applyFont="1" applyFill="1" applyBorder="1" applyAlignment="1">
      <alignment horizontal="center" vertical="center" wrapText="1"/>
    </xf>
    <xf numFmtId="164" fontId="6" fillId="3" borderId="9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</cellXfs>
  <cellStyles count="1">
    <cellStyle name="Normal" xfId="0" builtinId="0"/>
  </cellStyles>
  <dxfs count="1243"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ont>
        <strike val="0"/>
        <color auto="1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3F6E7-DF31-42E0-9F6D-F83CEDAAD3B0}" name="Formcrete" displayName="Formcrete" ref="A5:Q395" totalsRowShown="0" headerRowDxfId="1242" dataDxfId="1240" headerRowBorderDxfId="1241" tableBorderDxfId="1239">
  <autoFilter ref="A5:Q395" xr:uid="{A8E3F6E7-DF31-42E0-9F6D-F83CEDAAD3B0}"/>
  <sortState xmlns:xlrd2="http://schemas.microsoft.com/office/spreadsheetml/2017/richdata2" ref="A6:Q490">
    <sortCondition ref="F5:F819"/>
  </sortState>
  <tableColumns count="17">
    <tableColumn id="1" xr3:uid="{619C9885-0CF3-44DC-96EA-4CEBC14DC065}" name="S.No" dataDxfId="1238"/>
    <tableColumn id="17" xr3:uid="{A85446F8-BC1B-4D5A-A935-AA3851D69CA4}" name="BILL STATUS" dataDxfId="1237"/>
    <tableColumn id="2" xr3:uid="{B74F117C-9284-49ED-9DE4-6874616F102D}" name="PROJECT NAME" dataDxfId="1236"/>
    <tableColumn id="3" xr3:uid="{B6E22C6B-AEAC-4DE7-8FDE-DDD28B840BE0}" name="SCOPE" dataDxfId="1235"/>
    <tableColumn id="19" xr3:uid="{D9199B2A-A06F-4A39-8B43-D3E277A87903}" name="DWG NO." dataDxfId="1234"/>
    <tableColumn id="4" xr3:uid="{1C59A987-A510-4F0F-A562-852B8AC03D49}" name="COMPONENTS OF WORK" dataDxfId="1233"/>
    <tableColumn id="5" xr3:uid="{116052F8-F72E-408C-80EC-6953C0C7C658}" name="REC. DATE" dataDxfId="1232"/>
    <tableColumn id="6" xr3:uid="{ED8EF51C-0B90-44DD-9147-2C0C59AE0DB5}" name="STATUS" dataDxfId="1231"/>
    <tableColumn id="7" xr3:uid="{570EFD18-7465-4A80-B2C5-BFE6753176DB}" name="SUB. DATE" dataDxfId="1230"/>
    <tableColumn id="8" xr3:uid="{B6A6AE2C-9706-4A15-8903-FA427015C170}" name="CUST. REQ. DATE" dataDxfId="1229"/>
    <tableColumn id="9" xr3:uid="{67FEF466-5657-4BCE-93E1-969F327EF54A}" name="EXP. WT/HRS" dataDxfId="1228"/>
    <tableColumn id="10" xr3:uid="{2A1595A2-6F2F-4898-8EF0-A2E7C16637A4}" name="DET. WT." dataDxfId="1227"/>
    <tableColumn id="18" xr3:uid="{F35CBD4E-393A-4496-85F8-A1A9E0C48925}" name=" HRS" dataDxfId="1226"/>
    <tableColumn id="16" xr3:uid="{765E78BB-706E-4CB3-9080-633741A9DEB9}" name="C.O." dataDxfId="1225"/>
    <tableColumn id="13" xr3:uid="{3C0740B8-EA06-4B71-B762-E924AE04B4D4}" name="DETAILER" dataDxfId="1224"/>
    <tableColumn id="14" xr3:uid="{481663C7-B7F7-42C7-8D6C-93A0CE6DAC60}" name="CHECKER" dataDxfId="1223"/>
    <tableColumn id="15" xr3:uid="{4FB087DD-0C19-46A8-9F1A-821409012EB6}" name="REMARKS" dataDxfId="122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9EC3-98E0-4662-A3E8-246F5DE1CFE0}">
  <dimension ref="A1:Q397"/>
  <sheetViews>
    <sheetView tabSelected="1" topLeftCell="D45" zoomScaleNormal="100" workbookViewId="0">
      <selection activeCell="O44" sqref="O44"/>
    </sheetView>
  </sheetViews>
  <sheetFormatPr defaultRowHeight="15" x14ac:dyDescent="0.25"/>
  <cols>
    <col min="1" max="1" width="12.140625" style="21" bestFit="1" customWidth="1"/>
    <col min="2" max="2" width="4.5703125" style="21" customWidth="1"/>
    <col min="3" max="3" width="29.85546875" style="30" customWidth="1"/>
    <col min="4" max="4" width="19.5703125" style="21" bestFit="1" customWidth="1"/>
    <col min="5" max="5" width="26.7109375" style="21" customWidth="1"/>
    <col min="6" max="6" width="54" style="30" customWidth="1"/>
    <col min="7" max="7" width="13.140625" style="21" bestFit="1" customWidth="1"/>
    <col min="8" max="8" width="20" style="21" bestFit="1" customWidth="1"/>
    <col min="9" max="10" width="13.140625" style="21" bestFit="1" customWidth="1"/>
    <col min="11" max="11" width="15.7109375" style="21" bestFit="1" customWidth="1"/>
    <col min="12" max="13" width="12" style="21" bestFit="1" customWidth="1"/>
    <col min="14" max="14" width="11.7109375" style="21" bestFit="1" customWidth="1"/>
    <col min="15" max="15" width="28.5703125" style="21" bestFit="1" customWidth="1"/>
    <col min="16" max="16" width="15" style="21" bestFit="1" customWidth="1"/>
    <col min="17" max="17" width="29.5703125" style="21" bestFit="1" customWidth="1"/>
    <col min="18" max="16384" width="9.140625" style="21"/>
  </cols>
  <sheetData>
    <row r="1" spans="1:17" ht="15.75" thickBot="1" x14ac:dyDescent="0.3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2" spans="1:17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</row>
    <row r="3" spans="1:17" x14ac:dyDescent="0.25">
      <c r="A3" s="22"/>
      <c r="B3" s="23"/>
      <c r="C3" s="24" t="s">
        <v>1</v>
      </c>
      <c r="D3" s="98" t="s">
        <v>2</v>
      </c>
      <c r="E3" s="99"/>
      <c r="F3" s="100"/>
      <c r="G3" s="98"/>
      <c r="H3" s="99"/>
      <c r="I3" s="99"/>
      <c r="J3" s="99"/>
      <c r="K3" s="99"/>
      <c r="L3" s="99"/>
      <c r="M3" s="99"/>
      <c r="N3" s="99"/>
      <c r="O3" s="99"/>
      <c r="P3" s="99"/>
      <c r="Q3" s="101"/>
    </row>
    <row r="4" spans="1:17" ht="15.75" thickBot="1" x14ac:dyDescent="0.3">
      <c r="A4" s="25"/>
      <c r="B4" s="26"/>
      <c r="C4" s="27" t="s">
        <v>3</v>
      </c>
      <c r="D4" s="102">
        <v>46122</v>
      </c>
      <c r="E4" s="103"/>
      <c r="F4" s="104"/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7"/>
    </row>
    <row r="5" spans="1:17" x14ac:dyDescent="0.25">
      <c r="A5" s="31" t="s">
        <v>4</v>
      </c>
      <c r="B5" s="32" t="s">
        <v>5</v>
      </c>
      <c r="C5" s="33" t="s">
        <v>6</v>
      </c>
      <c r="D5" s="34" t="s">
        <v>7</v>
      </c>
      <c r="E5" s="34" t="s">
        <v>104</v>
      </c>
      <c r="F5" s="33" t="s">
        <v>8</v>
      </c>
      <c r="G5" s="28" t="s">
        <v>9</v>
      </c>
      <c r="H5" s="34" t="s">
        <v>10</v>
      </c>
      <c r="I5" s="28" t="s">
        <v>11</v>
      </c>
      <c r="J5" s="28" t="s">
        <v>12</v>
      </c>
      <c r="K5" s="34" t="s">
        <v>13</v>
      </c>
      <c r="L5" s="34" t="s">
        <v>14</v>
      </c>
      <c r="M5" s="34" t="s">
        <v>15</v>
      </c>
      <c r="N5" s="34" t="s">
        <v>16</v>
      </c>
      <c r="O5" s="34" t="s">
        <v>17</v>
      </c>
      <c r="P5" s="34" t="s">
        <v>18</v>
      </c>
      <c r="Q5" s="35" t="s">
        <v>19</v>
      </c>
    </row>
    <row r="6" spans="1:17" x14ac:dyDescent="0.25">
      <c r="A6" s="1">
        <v>1</v>
      </c>
      <c r="B6" s="1"/>
      <c r="C6" s="2" t="s">
        <v>24</v>
      </c>
      <c r="D6" s="1" t="s">
        <v>21</v>
      </c>
      <c r="E6" s="3" t="s">
        <v>166</v>
      </c>
      <c r="F6" s="37" t="s">
        <v>167</v>
      </c>
      <c r="G6" s="44">
        <v>45937</v>
      </c>
      <c r="H6" s="3" t="s">
        <v>27</v>
      </c>
      <c r="I6" s="44">
        <v>46006</v>
      </c>
      <c r="J6" s="3"/>
      <c r="K6" s="1"/>
      <c r="L6" s="88">
        <v>4.6639999999999997</v>
      </c>
      <c r="M6" s="1"/>
      <c r="N6" s="1"/>
      <c r="O6" s="5"/>
      <c r="P6" s="1"/>
      <c r="Q6" s="1"/>
    </row>
    <row r="7" spans="1:17" x14ac:dyDescent="0.25">
      <c r="A7" s="1"/>
      <c r="B7" s="1"/>
      <c r="C7" s="2" t="s">
        <v>24</v>
      </c>
      <c r="D7" s="1" t="s">
        <v>21</v>
      </c>
      <c r="E7" s="3" t="s">
        <v>168</v>
      </c>
      <c r="F7" s="37" t="s">
        <v>169</v>
      </c>
      <c r="G7" s="44">
        <v>45937</v>
      </c>
      <c r="H7" s="3" t="s">
        <v>27</v>
      </c>
      <c r="I7" s="44">
        <v>45997</v>
      </c>
      <c r="J7" s="3"/>
      <c r="K7" s="1"/>
      <c r="L7" s="88">
        <v>28.082000000000001</v>
      </c>
      <c r="M7" s="1"/>
      <c r="N7" s="1"/>
      <c r="O7" s="5"/>
      <c r="P7" s="1"/>
      <c r="Q7" s="1"/>
    </row>
    <row r="8" spans="1:17" x14ac:dyDescent="0.25">
      <c r="A8" s="1"/>
      <c r="B8" s="1"/>
      <c r="C8" s="2" t="s">
        <v>24</v>
      </c>
      <c r="D8" s="1" t="s">
        <v>21</v>
      </c>
      <c r="E8" s="3" t="s">
        <v>170</v>
      </c>
      <c r="F8" s="37" t="s">
        <v>171</v>
      </c>
      <c r="G8" s="44">
        <v>45937</v>
      </c>
      <c r="H8" s="3" t="s">
        <v>27</v>
      </c>
      <c r="I8" s="44">
        <v>45997</v>
      </c>
      <c r="J8" s="3"/>
      <c r="K8" s="1"/>
      <c r="L8" s="88">
        <v>8.6769999999999996</v>
      </c>
      <c r="M8" s="1"/>
      <c r="N8" s="1"/>
      <c r="O8" s="5"/>
      <c r="P8" s="1"/>
      <c r="Q8" s="1"/>
    </row>
    <row r="9" spans="1:17" x14ac:dyDescent="0.25">
      <c r="A9" s="1"/>
      <c r="B9" s="1"/>
      <c r="C9" s="2" t="s">
        <v>24</v>
      </c>
      <c r="D9" s="1" t="s">
        <v>21</v>
      </c>
      <c r="E9" s="3" t="s">
        <v>172</v>
      </c>
      <c r="F9" s="37" t="s">
        <v>173</v>
      </c>
      <c r="G9" s="44">
        <v>45937</v>
      </c>
      <c r="H9" s="3" t="s">
        <v>27</v>
      </c>
      <c r="I9" s="44">
        <v>46030</v>
      </c>
      <c r="J9" s="3"/>
      <c r="K9" s="1"/>
      <c r="L9" s="88">
        <v>22.254000000000001</v>
      </c>
      <c r="M9" s="1"/>
      <c r="N9" s="1"/>
      <c r="O9" s="5"/>
      <c r="P9" s="1"/>
      <c r="Q9" s="1"/>
    </row>
    <row r="10" spans="1:17" x14ac:dyDescent="0.25">
      <c r="A10" s="1"/>
      <c r="B10" s="1"/>
      <c r="C10" s="2" t="s">
        <v>24</v>
      </c>
      <c r="D10" s="1" t="s">
        <v>21</v>
      </c>
      <c r="E10" s="3" t="s">
        <v>174</v>
      </c>
      <c r="F10" s="37" t="s">
        <v>175</v>
      </c>
      <c r="G10" s="44">
        <v>45937</v>
      </c>
      <c r="H10" s="3" t="s">
        <v>27</v>
      </c>
      <c r="I10" s="44">
        <v>46046</v>
      </c>
      <c r="J10" s="3"/>
      <c r="K10" s="1"/>
      <c r="L10" s="88">
        <v>25.559000000000001</v>
      </c>
      <c r="M10" s="1"/>
      <c r="N10" s="1"/>
      <c r="O10" s="5"/>
      <c r="P10" s="1"/>
      <c r="Q10" s="1"/>
    </row>
    <row r="11" spans="1:17" x14ac:dyDescent="0.25">
      <c r="A11" s="1"/>
      <c r="B11" s="1"/>
      <c r="C11" s="2" t="s">
        <v>24</v>
      </c>
      <c r="D11" s="1" t="s">
        <v>21</v>
      </c>
      <c r="E11" s="3" t="s">
        <v>176</v>
      </c>
      <c r="F11" s="37" t="s">
        <v>177</v>
      </c>
      <c r="G11" s="44">
        <v>45937</v>
      </c>
      <c r="H11" s="3" t="s">
        <v>27</v>
      </c>
      <c r="I11" s="44">
        <v>46046</v>
      </c>
      <c r="J11" s="3"/>
      <c r="K11" s="1"/>
      <c r="L11" s="88">
        <v>17.587</v>
      </c>
      <c r="M11" s="1"/>
      <c r="N11" s="1"/>
      <c r="O11" s="5"/>
      <c r="P11" s="1"/>
      <c r="Q11" s="1"/>
    </row>
    <row r="12" spans="1:17" x14ac:dyDescent="0.25">
      <c r="A12" s="1"/>
      <c r="B12" s="1"/>
      <c r="C12" s="2" t="s">
        <v>24</v>
      </c>
      <c r="D12" s="1" t="s">
        <v>21</v>
      </c>
      <c r="E12" s="3" t="s">
        <v>178</v>
      </c>
      <c r="F12" s="37" t="s">
        <v>179</v>
      </c>
      <c r="G12" s="44">
        <v>45937</v>
      </c>
      <c r="H12" s="3" t="s">
        <v>27</v>
      </c>
      <c r="I12" s="44">
        <v>46101</v>
      </c>
      <c r="J12" s="3"/>
      <c r="K12" s="1"/>
      <c r="L12" s="88">
        <v>17.318000000000001</v>
      </c>
      <c r="M12" s="1"/>
      <c r="N12" s="1"/>
      <c r="O12" s="5"/>
      <c r="P12" s="1"/>
      <c r="Q12" s="1"/>
    </row>
    <row r="13" spans="1:17" x14ac:dyDescent="0.25">
      <c r="A13" s="1"/>
      <c r="B13" s="1"/>
      <c r="C13" s="2" t="s">
        <v>24</v>
      </c>
      <c r="D13" s="1" t="s">
        <v>21</v>
      </c>
      <c r="E13" s="3" t="s">
        <v>180</v>
      </c>
      <c r="F13" s="37" t="s">
        <v>181</v>
      </c>
      <c r="G13" s="44">
        <v>45937</v>
      </c>
      <c r="H13" s="3" t="s">
        <v>27</v>
      </c>
      <c r="I13" s="44">
        <v>46101</v>
      </c>
      <c r="J13" s="3"/>
      <c r="K13" s="1"/>
      <c r="L13" s="88">
        <v>26.388999999999999</v>
      </c>
      <c r="M13" s="1"/>
      <c r="N13" s="1"/>
      <c r="O13" s="5"/>
      <c r="P13" s="1"/>
      <c r="Q13" s="1"/>
    </row>
    <row r="14" spans="1:17" x14ac:dyDescent="0.25">
      <c r="A14" s="1"/>
      <c r="B14" s="1"/>
      <c r="C14" s="2" t="s">
        <v>24</v>
      </c>
      <c r="D14" s="1" t="s">
        <v>21</v>
      </c>
      <c r="E14" s="3" t="s">
        <v>182</v>
      </c>
      <c r="F14" s="37" t="s">
        <v>183</v>
      </c>
      <c r="G14" s="44">
        <v>45937</v>
      </c>
      <c r="H14" s="3" t="s">
        <v>27</v>
      </c>
      <c r="I14" s="44">
        <v>46087</v>
      </c>
      <c r="J14" s="3"/>
      <c r="K14" s="1"/>
      <c r="L14" s="88">
        <v>82.778999999999996</v>
      </c>
      <c r="M14" s="1"/>
      <c r="N14" s="1"/>
      <c r="O14" s="5"/>
      <c r="P14" s="1"/>
      <c r="Q14" s="1"/>
    </row>
    <row r="15" spans="1:17" x14ac:dyDescent="0.25">
      <c r="A15" s="1"/>
      <c r="B15" s="1"/>
      <c r="C15" s="2" t="s">
        <v>24</v>
      </c>
      <c r="D15" s="1" t="s">
        <v>21</v>
      </c>
      <c r="E15" s="3" t="s">
        <v>184</v>
      </c>
      <c r="F15" s="37" t="s">
        <v>185</v>
      </c>
      <c r="G15" s="44">
        <v>45937</v>
      </c>
      <c r="H15" s="3" t="s">
        <v>27</v>
      </c>
      <c r="I15" s="44">
        <v>46081</v>
      </c>
      <c r="J15" s="3"/>
      <c r="K15" s="1"/>
      <c r="L15" s="88">
        <v>36.429000000000002</v>
      </c>
      <c r="M15" s="1"/>
      <c r="N15" s="1"/>
      <c r="O15" s="5"/>
      <c r="P15" s="1"/>
      <c r="Q15" s="1"/>
    </row>
    <row r="16" spans="1:17" x14ac:dyDescent="0.25">
      <c r="A16" s="1"/>
      <c r="B16" s="1"/>
      <c r="C16" s="2" t="s">
        <v>24</v>
      </c>
      <c r="D16" s="1" t="s">
        <v>21</v>
      </c>
      <c r="E16" s="3" t="s">
        <v>186</v>
      </c>
      <c r="F16" s="37" t="s">
        <v>187</v>
      </c>
      <c r="G16" s="44">
        <v>45937</v>
      </c>
      <c r="H16" s="3" t="s">
        <v>27</v>
      </c>
      <c r="I16" s="44">
        <v>46108</v>
      </c>
      <c r="J16" s="3"/>
      <c r="K16" s="1"/>
      <c r="L16" s="46">
        <v>55.058999999999997</v>
      </c>
      <c r="M16" s="1"/>
      <c r="N16" s="1"/>
      <c r="O16" s="5"/>
      <c r="P16" s="1"/>
      <c r="Q16" s="1"/>
    </row>
    <row r="17" spans="1:17" x14ac:dyDescent="0.25">
      <c r="A17" s="1"/>
      <c r="B17" s="1"/>
      <c r="C17" s="2" t="s">
        <v>24</v>
      </c>
      <c r="D17" s="1" t="s">
        <v>21</v>
      </c>
      <c r="E17" s="3" t="s">
        <v>150</v>
      </c>
      <c r="F17" s="37" t="s">
        <v>188</v>
      </c>
      <c r="G17" s="44">
        <v>45937</v>
      </c>
      <c r="H17" s="3" t="s">
        <v>27</v>
      </c>
      <c r="I17" s="44">
        <v>46119</v>
      </c>
      <c r="J17" s="3"/>
      <c r="K17" s="1"/>
      <c r="L17" s="46">
        <v>17.655999999999999</v>
      </c>
      <c r="M17" s="1"/>
      <c r="N17" s="1"/>
      <c r="O17" s="5"/>
      <c r="P17" s="1"/>
      <c r="Q17" s="1"/>
    </row>
    <row r="18" spans="1:17" x14ac:dyDescent="0.25">
      <c r="A18" s="1"/>
      <c r="B18" s="1"/>
      <c r="C18" s="2" t="s">
        <v>24</v>
      </c>
      <c r="D18" s="1" t="s">
        <v>21</v>
      </c>
      <c r="E18" s="3" t="s">
        <v>189</v>
      </c>
      <c r="F18" s="37" t="s">
        <v>190</v>
      </c>
      <c r="G18" s="44">
        <v>45937</v>
      </c>
      <c r="H18" s="3" t="s">
        <v>27</v>
      </c>
      <c r="I18" s="44">
        <v>46119</v>
      </c>
      <c r="J18" s="3"/>
      <c r="K18" s="1"/>
      <c r="L18" s="46">
        <v>23.396999999999998</v>
      </c>
      <c r="M18" s="1"/>
      <c r="N18" s="1"/>
      <c r="O18" s="5"/>
      <c r="P18" s="1"/>
      <c r="Q18" s="1"/>
    </row>
    <row r="19" spans="1:17" x14ac:dyDescent="0.25">
      <c r="A19" s="1"/>
      <c r="B19" s="1"/>
      <c r="C19" s="2" t="s">
        <v>24</v>
      </c>
      <c r="D19" s="1" t="s">
        <v>21</v>
      </c>
      <c r="E19" s="3" t="s">
        <v>154</v>
      </c>
      <c r="F19" s="37" t="s">
        <v>191</v>
      </c>
      <c r="G19" s="44">
        <v>45937</v>
      </c>
      <c r="H19" s="3" t="s">
        <v>27</v>
      </c>
      <c r="I19" s="44">
        <v>46119</v>
      </c>
      <c r="J19" s="3"/>
      <c r="K19" s="1"/>
      <c r="L19" s="46">
        <v>17.641999999999999</v>
      </c>
      <c r="M19" s="1"/>
      <c r="N19" s="1"/>
      <c r="O19" s="5"/>
      <c r="P19" s="1"/>
      <c r="Q19" s="1"/>
    </row>
    <row r="20" spans="1:17" x14ac:dyDescent="0.25">
      <c r="A20" s="1"/>
      <c r="B20" s="1"/>
      <c r="C20" s="2" t="s">
        <v>24</v>
      </c>
      <c r="D20" s="1" t="s">
        <v>21</v>
      </c>
      <c r="E20" s="3" t="s">
        <v>192</v>
      </c>
      <c r="F20" s="37" t="s">
        <v>193</v>
      </c>
      <c r="G20" s="44">
        <v>45937</v>
      </c>
      <c r="H20" s="3" t="s">
        <v>27</v>
      </c>
      <c r="I20" s="44">
        <v>46119</v>
      </c>
      <c r="J20" s="3"/>
      <c r="K20" s="1"/>
      <c r="L20" s="46">
        <v>23.396999999999998</v>
      </c>
      <c r="M20" s="1"/>
      <c r="N20" s="1"/>
      <c r="O20" s="5"/>
      <c r="P20" s="1"/>
      <c r="Q20" s="1"/>
    </row>
    <row r="21" spans="1:17" x14ac:dyDescent="0.25">
      <c r="A21" s="1"/>
      <c r="B21" s="1"/>
      <c r="C21" s="2" t="s">
        <v>24</v>
      </c>
      <c r="D21" s="1" t="s">
        <v>21</v>
      </c>
      <c r="E21" s="3" t="s">
        <v>194</v>
      </c>
      <c r="F21" s="37" t="s">
        <v>195</v>
      </c>
      <c r="G21" s="44">
        <v>45937</v>
      </c>
      <c r="H21" s="3" t="s">
        <v>27</v>
      </c>
      <c r="I21" s="44">
        <v>46122</v>
      </c>
      <c r="J21" s="3"/>
      <c r="K21" s="1"/>
      <c r="L21" s="46">
        <v>17.161000000000001</v>
      </c>
      <c r="M21" s="1"/>
      <c r="N21" s="1"/>
      <c r="O21" s="5" t="s">
        <v>343</v>
      </c>
      <c r="P21" s="1"/>
      <c r="Q21" s="1"/>
    </row>
    <row r="22" spans="1:17" x14ac:dyDescent="0.25">
      <c r="A22" s="1"/>
      <c r="B22" s="1"/>
      <c r="C22" s="2" t="s">
        <v>24</v>
      </c>
      <c r="D22" s="1" t="s">
        <v>21</v>
      </c>
      <c r="E22" s="3" t="s">
        <v>196</v>
      </c>
      <c r="F22" s="37" t="s">
        <v>197</v>
      </c>
      <c r="G22" s="44">
        <v>45937</v>
      </c>
      <c r="H22" s="3" t="s">
        <v>27</v>
      </c>
      <c r="I22" s="44">
        <v>46122</v>
      </c>
      <c r="J22" s="3"/>
      <c r="K22" s="1"/>
      <c r="L22" s="46">
        <v>23.382000000000001</v>
      </c>
      <c r="M22" s="1"/>
      <c r="N22" s="1"/>
      <c r="O22" s="5" t="s">
        <v>343</v>
      </c>
      <c r="P22" s="1"/>
      <c r="Q22" s="1"/>
    </row>
    <row r="23" spans="1:17" x14ac:dyDescent="0.25">
      <c r="A23" s="1"/>
      <c r="B23" s="1"/>
      <c r="C23" s="2" t="s">
        <v>24</v>
      </c>
      <c r="D23" s="1" t="s">
        <v>21</v>
      </c>
      <c r="E23" s="3" t="s">
        <v>198</v>
      </c>
      <c r="F23" s="37" t="s">
        <v>199</v>
      </c>
      <c r="G23" s="44">
        <v>45937</v>
      </c>
      <c r="H23" s="3" t="s">
        <v>27</v>
      </c>
      <c r="I23" s="44">
        <v>46125</v>
      </c>
      <c r="J23" s="3"/>
      <c r="K23" s="1"/>
      <c r="L23" s="46">
        <v>118.63</v>
      </c>
      <c r="M23" s="1"/>
      <c r="N23" s="1"/>
      <c r="O23" s="5" t="s">
        <v>337</v>
      </c>
      <c r="P23" s="1"/>
      <c r="Q23" s="1"/>
    </row>
    <row r="24" spans="1:17" x14ac:dyDescent="0.25">
      <c r="A24" s="1"/>
      <c r="B24" s="1"/>
      <c r="C24" s="2" t="s">
        <v>24</v>
      </c>
      <c r="D24" s="1" t="s">
        <v>21</v>
      </c>
      <c r="E24" s="3" t="s">
        <v>200</v>
      </c>
      <c r="F24" s="37" t="s">
        <v>201</v>
      </c>
      <c r="G24" s="44">
        <v>45937</v>
      </c>
      <c r="H24" s="3" t="s">
        <v>27</v>
      </c>
      <c r="I24" s="44">
        <v>46129</v>
      </c>
      <c r="J24" s="3"/>
      <c r="K24" s="1"/>
      <c r="L24" s="46">
        <v>92.114000000000004</v>
      </c>
      <c r="M24" s="1"/>
      <c r="N24" s="1"/>
      <c r="O24" s="5" t="s">
        <v>343</v>
      </c>
      <c r="P24" s="1"/>
      <c r="Q24" s="1"/>
    </row>
    <row r="25" spans="1:17" x14ac:dyDescent="0.25">
      <c r="A25" s="1"/>
      <c r="B25" s="1"/>
      <c r="C25" s="2" t="s">
        <v>24</v>
      </c>
      <c r="D25" s="1" t="s">
        <v>21</v>
      </c>
      <c r="E25" s="3" t="s">
        <v>202</v>
      </c>
      <c r="F25" s="37" t="s">
        <v>203</v>
      </c>
      <c r="G25" s="44">
        <v>45937</v>
      </c>
      <c r="H25" s="3" t="s">
        <v>27</v>
      </c>
      <c r="I25" s="44">
        <v>46143</v>
      </c>
      <c r="J25" s="3">
        <v>46135</v>
      </c>
      <c r="K25" s="1"/>
      <c r="L25" s="46">
        <v>90.715999999999994</v>
      </c>
      <c r="M25" s="1"/>
      <c r="N25" s="1"/>
      <c r="O25" s="5" t="s">
        <v>339</v>
      </c>
      <c r="P25" s="1"/>
      <c r="Q25" s="1"/>
    </row>
    <row r="26" spans="1:17" x14ac:dyDescent="0.25">
      <c r="A26" s="1"/>
      <c r="B26" s="1"/>
      <c r="C26" s="2" t="s">
        <v>24</v>
      </c>
      <c r="D26" s="1" t="s">
        <v>21</v>
      </c>
      <c r="E26" s="3" t="s">
        <v>204</v>
      </c>
      <c r="F26" s="37" t="s">
        <v>342</v>
      </c>
      <c r="G26" s="44">
        <v>45937</v>
      </c>
      <c r="H26" s="3" t="s">
        <v>27</v>
      </c>
      <c r="I26" s="44">
        <v>46129</v>
      </c>
      <c r="J26" s="3"/>
      <c r="K26" s="1"/>
      <c r="L26" s="46">
        <v>30.34</v>
      </c>
      <c r="M26" s="1"/>
      <c r="N26" s="1"/>
      <c r="O26" s="5" t="s">
        <v>337</v>
      </c>
      <c r="P26" s="1"/>
      <c r="Q26" s="1"/>
    </row>
    <row r="27" spans="1:17" x14ac:dyDescent="0.25">
      <c r="A27" s="1"/>
      <c r="B27" s="1"/>
      <c r="C27" s="2" t="s">
        <v>24</v>
      </c>
      <c r="D27" s="1" t="s">
        <v>21</v>
      </c>
      <c r="E27" s="3" t="s">
        <v>205</v>
      </c>
      <c r="F27" s="37" t="s">
        <v>206</v>
      </c>
      <c r="G27" s="44">
        <v>45937</v>
      </c>
      <c r="H27" s="3" t="s">
        <v>27</v>
      </c>
      <c r="I27" s="44">
        <v>46148</v>
      </c>
      <c r="J27" s="3">
        <v>46135</v>
      </c>
      <c r="K27" s="1"/>
      <c r="L27" s="46">
        <v>31.856999999999999</v>
      </c>
      <c r="M27" s="1"/>
      <c r="N27" s="1"/>
      <c r="O27" s="5" t="s">
        <v>339</v>
      </c>
      <c r="P27" s="1"/>
      <c r="Q27" s="1"/>
    </row>
    <row r="28" spans="1:17" x14ac:dyDescent="0.25">
      <c r="A28" s="1"/>
      <c r="B28" s="1"/>
      <c r="C28" s="2" t="s">
        <v>24</v>
      </c>
      <c r="D28" s="1" t="s">
        <v>21</v>
      </c>
      <c r="E28" s="3" t="s">
        <v>207</v>
      </c>
      <c r="F28" s="37" t="s">
        <v>208</v>
      </c>
      <c r="G28" s="44">
        <v>45937</v>
      </c>
      <c r="H28" s="3" t="s">
        <v>27</v>
      </c>
      <c r="I28" s="44">
        <v>46148</v>
      </c>
      <c r="J28" s="3">
        <v>46135</v>
      </c>
      <c r="K28" s="1"/>
      <c r="L28" s="46">
        <v>31.856999999999999</v>
      </c>
      <c r="M28" s="1"/>
      <c r="N28" s="1"/>
      <c r="O28" s="5" t="s">
        <v>339</v>
      </c>
      <c r="P28" s="1"/>
      <c r="Q28" s="1"/>
    </row>
    <row r="29" spans="1:17" x14ac:dyDescent="0.25">
      <c r="A29" s="1"/>
      <c r="B29" s="1"/>
      <c r="C29" s="2" t="s">
        <v>24</v>
      </c>
      <c r="D29" s="1" t="s">
        <v>21</v>
      </c>
      <c r="E29" s="3" t="s">
        <v>210</v>
      </c>
      <c r="F29" s="37" t="s">
        <v>211</v>
      </c>
      <c r="G29" s="44">
        <v>45937</v>
      </c>
      <c r="H29" s="3" t="s">
        <v>27</v>
      </c>
      <c r="I29" s="44">
        <v>46156</v>
      </c>
      <c r="J29" s="3">
        <v>46138</v>
      </c>
      <c r="K29" s="1"/>
      <c r="L29" s="46"/>
      <c r="M29" s="1"/>
      <c r="N29" s="1"/>
      <c r="O29" s="5" t="s">
        <v>339</v>
      </c>
      <c r="P29" s="1"/>
      <c r="Q29" s="1"/>
    </row>
    <row r="30" spans="1:17" x14ac:dyDescent="0.25">
      <c r="A30" s="1"/>
      <c r="B30" s="1"/>
      <c r="C30" s="2" t="s">
        <v>24</v>
      </c>
      <c r="D30" s="1" t="s">
        <v>21</v>
      </c>
      <c r="E30" s="3" t="s">
        <v>212</v>
      </c>
      <c r="F30" s="37" t="s">
        <v>213</v>
      </c>
      <c r="G30" s="44">
        <v>45937</v>
      </c>
      <c r="H30" s="3" t="s">
        <v>27</v>
      </c>
      <c r="I30" s="44">
        <v>46156</v>
      </c>
      <c r="J30" s="3">
        <v>46142</v>
      </c>
      <c r="K30" s="1"/>
      <c r="L30" s="46"/>
      <c r="M30" s="1"/>
      <c r="N30" s="1"/>
      <c r="O30" s="5" t="s">
        <v>617</v>
      </c>
      <c r="P30" s="1"/>
      <c r="Q30" s="1"/>
    </row>
    <row r="31" spans="1:17" x14ac:dyDescent="0.25">
      <c r="A31" s="1"/>
      <c r="B31" s="1"/>
      <c r="C31" s="2" t="s">
        <v>24</v>
      </c>
      <c r="D31" s="1" t="s">
        <v>21</v>
      </c>
      <c r="E31" s="3" t="s">
        <v>215</v>
      </c>
      <c r="F31" s="37" t="s">
        <v>216</v>
      </c>
      <c r="G31" s="44">
        <v>45937</v>
      </c>
      <c r="H31" s="3" t="s">
        <v>27</v>
      </c>
      <c r="I31" s="44">
        <v>46157</v>
      </c>
      <c r="J31" s="3">
        <v>46142</v>
      </c>
      <c r="K31" s="1"/>
      <c r="L31" s="46"/>
      <c r="M31" s="1"/>
      <c r="N31" s="1"/>
      <c r="O31" s="5" t="s">
        <v>335</v>
      </c>
      <c r="P31" s="1"/>
      <c r="Q31" s="1"/>
    </row>
    <row r="32" spans="1:17" x14ac:dyDescent="0.25">
      <c r="A32" s="1"/>
      <c r="B32" s="1"/>
      <c r="C32" s="2" t="s">
        <v>24</v>
      </c>
      <c r="D32" s="1" t="s">
        <v>21</v>
      </c>
      <c r="E32" s="3" t="s">
        <v>218</v>
      </c>
      <c r="F32" s="37" t="s">
        <v>219</v>
      </c>
      <c r="G32" s="44">
        <v>45937</v>
      </c>
      <c r="H32" s="3" t="s">
        <v>27</v>
      </c>
      <c r="I32" s="44">
        <v>46160</v>
      </c>
      <c r="J32" s="3">
        <v>46156</v>
      </c>
      <c r="K32" s="1"/>
      <c r="L32" s="46"/>
      <c r="M32" s="1"/>
      <c r="N32" s="1"/>
      <c r="O32" s="5" t="s">
        <v>339</v>
      </c>
      <c r="P32" s="1"/>
      <c r="Q32" s="1"/>
    </row>
    <row r="33" spans="1:17" x14ac:dyDescent="0.25">
      <c r="A33" s="1"/>
      <c r="B33" s="1"/>
      <c r="C33" s="2" t="s">
        <v>24</v>
      </c>
      <c r="D33" s="1" t="s">
        <v>21</v>
      </c>
      <c r="E33" s="3" t="s">
        <v>220</v>
      </c>
      <c r="F33" s="37" t="s">
        <v>221</v>
      </c>
      <c r="G33" s="44">
        <v>45937</v>
      </c>
      <c r="H33" s="3" t="s">
        <v>27</v>
      </c>
      <c r="I33" s="44">
        <v>46160</v>
      </c>
      <c r="J33" s="3">
        <v>46156</v>
      </c>
      <c r="K33" s="1"/>
      <c r="L33" s="46"/>
      <c r="M33" s="1"/>
      <c r="N33" s="1"/>
      <c r="O33" s="5"/>
      <c r="P33" s="1"/>
      <c r="Q33" s="1"/>
    </row>
    <row r="34" spans="1:17" x14ac:dyDescent="0.25">
      <c r="A34" s="1"/>
      <c r="B34" s="1"/>
      <c r="C34" s="2" t="s">
        <v>24</v>
      </c>
      <c r="D34" s="1" t="s">
        <v>21</v>
      </c>
      <c r="E34" s="3" t="s">
        <v>222</v>
      </c>
      <c r="F34" s="37" t="s">
        <v>223</v>
      </c>
      <c r="G34" s="44">
        <v>45937</v>
      </c>
      <c r="H34" s="3" t="s">
        <v>27</v>
      </c>
      <c r="I34" s="44"/>
      <c r="J34" s="3"/>
      <c r="K34" s="1"/>
      <c r="L34" s="46"/>
      <c r="M34" s="1"/>
      <c r="N34" s="1"/>
      <c r="O34" s="5"/>
      <c r="P34" s="1"/>
      <c r="Q34" s="1"/>
    </row>
    <row r="35" spans="1:17" x14ac:dyDescent="0.25">
      <c r="A35" s="1"/>
      <c r="B35" s="1"/>
      <c r="C35" s="2" t="s">
        <v>24</v>
      </c>
      <c r="D35" s="1" t="s">
        <v>21</v>
      </c>
      <c r="E35" s="3" t="s">
        <v>224</v>
      </c>
      <c r="F35" s="37" t="s">
        <v>225</v>
      </c>
      <c r="G35" s="44">
        <v>45937</v>
      </c>
      <c r="H35" s="3" t="s">
        <v>27</v>
      </c>
      <c r="I35" s="44">
        <v>46171</v>
      </c>
      <c r="J35" s="3"/>
      <c r="K35" s="1"/>
      <c r="L35" s="46">
        <v>12.755000000000001</v>
      </c>
      <c r="M35" s="1"/>
      <c r="N35" s="1"/>
      <c r="O35" s="5" t="s">
        <v>338</v>
      </c>
      <c r="P35" s="1"/>
      <c r="Q35" s="1"/>
    </row>
    <row r="36" spans="1:17" x14ac:dyDescent="0.25">
      <c r="A36" s="1"/>
      <c r="B36" s="1"/>
      <c r="C36" s="2" t="s">
        <v>24</v>
      </c>
      <c r="D36" s="1" t="s">
        <v>21</v>
      </c>
      <c r="E36" s="3" t="s">
        <v>226</v>
      </c>
      <c r="F36" s="37" t="s">
        <v>227</v>
      </c>
      <c r="G36" s="44">
        <v>45937</v>
      </c>
      <c r="H36" s="3" t="s">
        <v>27</v>
      </c>
      <c r="I36" s="44">
        <v>46175</v>
      </c>
      <c r="J36" s="3"/>
      <c r="K36" s="1"/>
      <c r="L36" s="46"/>
      <c r="M36" s="1"/>
      <c r="N36" s="1"/>
      <c r="O36" s="5" t="s">
        <v>338</v>
      </c>
      <c r="P36" s="1"/>
      <c r="Q36" s="1"/>
    </row>
    <row r="37" spans="1:17" x14ac:dyDescent="0.25">
      <c r="A37" s="1"/>
      <c r="B37" s="1"/>
      <c r="C37" s="2" t="s">
        <v>24</v>
      </c>
      <c r="D37" s="1" t="s">
        <v>21</v>
      </c>
      <c r="E37" s="3" t="s">
        <v>228</v>
      </c>
      <c r="F37" s="37" t="s">
        <v>229</v>
      </c>
      <c r="G37" s="44">
        <v>45937</v>
      </c>
      <c r="H37" s="3" t="s">
        <v>27</v>
      </c>
      <c r="I37" s="44"/>
      <c r="J37" s="3"/>
      <c r="K37" s="1"/>
      <c r="L37" s="46"/>
      <c r="M37" s="1"/>
      <c r="N37" s="1"/>
      <c r="O37" s="5" t="s">
        <v>338</v>
      </c>
      <c r="P37" s="1"/>
      <c r="Q37" s="1"/>
    </row>
    <row r="38" spans="1:17" x14ac:dyDescent="0.25">
      <c r="A38" s="1"/>
      <c r="B38" s="1"/>
      <c r="C38" s="2" t="s">
        <v>24</v>
      </c>
      <c r="D38" s="1" t="s">
        <v>21</v>
      </c>
      <c r="E38" s="3" t="s">
        <v>230</v>
      </c>
      <c r="F38" s="37" t="s">
        <v>231</v>
      </c>
      <c r="G38" s="44">
        <v>45937</v>
      </c>
      <c r="H38" s="3" t="s">
        <v>27</v>
      </c>
      <c r="I38" s="44"/>
      <c r="J38" s="3"/>
      <c r="K38" s="1"/>
      <c r="L38" s="46"/>
      <c r="M38" s="1"/>
      <c r="N38" s="1"/>
      <c r="O38" s="5" t="s">
        <v>338</v>
      </c>
      <c r="P38" s="1"/>
      <c r="Q38" s="1"/>
    </row>
    <row r="39" spans="1:17" x14ac:dyDescent="0.25">
      <c r="A39" s="1"/>
      <c r="B39" s="1"/>
      <c r="C39" s="2" t="s">
        <v>24</v>
      </c>
      <c r="D39" s="1" t="s">
        <v>21</v>
      </c>
      <c r="E39" s="3" t="s">
        <v>232</v>
      </c>
      <c r="F39" s="37" t="s">
        <v>233</v>
      </c>
      <c r="G39" s="44">
        <v>45937</v>
      </c>
      <c r="H39" s="3" t="s">
        <v>27</v>
      </c>
      <c r="I39" s="44"/>
      <c r="J39" s="3"/>
      <c r="K39" s="1"/>
      <c r="L39" s="46"/>
      <c r="M39" s="1"/>
      <c r="N39" s="1"/>
      <c r="O39" s="5" t="s">
        <v>338</v>
      </c>
      <c r="P39" s="1"/>
      <c r="Q39" s="1"/>
    </row>
    <row r="40" spans="1:17" x14ac:dyDescent="0.25">
      <c r="A40" s="1"/>
      <c r="B40" s="1"/>
      <c r="C40" s="2" t="s">
        <v>24</v>
      </c>
      <c r="D40" s="1" t="s">
        <v>21</v>
      </c>
      <c r="E40" s="3" t="s">
        <v>234</v>
      </c>
      <c r="F40" s="37" t="s">
        <v>235</v>
      </c>
      <c r="G40" s="44">
        <v>45937</v>
      </c>
      <c r="H40" s="3" t="s">
        <v>27</v>
      </c>
      <c r="I40" s="44"/>
      <c r="J40" s="3"/>
      <c r="K40" s="1"/>
      <c r="L40" s="46"/>
      <c r="M40" s="1"/>
      <c r="N40" s="1"/>
      <c r="O40" s="5" t="s">
        <v>338</v>
      </c>
      <c r="P40" s="1"/>
      <c r="Q40" s="1"/>
    </row>
    <row r="41" spans="1:17" x14ac:dyDescent="0.25">
      <c r="A41" s="1"/>
      <c r="B41" s="1"/>
      <c r="C41" s="2" t="s">
        <v>24</v>
      </c>
      <c r="D41" s="1" t="s">
        <v>21</v>
      </c>
      <c r="E41" s="3" t="s">
        <v>236</v>
      </c>
      <c r="F41" s="37" t="s">
        <v>237</v>
      </c>
      <c r="G41" s="44">
        <v>45937</v>
      </c>
      <c r="H41" s="3" t="s">
        <v>22</v>
      </c>
      <c r="I41" s="44"/>
      <c r="J41" s="3"/>
      <c r="K41" s="1"/>
      <c r="L41" s="46"/>
      <c r="M41" s="1"/>
      <c r="N41" s="1"/>
      <c r="O41" s="5" t="s">
        <v>338</v>
      </c>
      <c r="P41" s="1"/>
      <c r="Q41" s="1"/>
    </row>
    <row r="42" spans="1:17" x14ac:dyDescent="0.25">
      <c r="A42" s="1"/>
      <c r="B42" s="1"/>
      <c r="C42" s="2" t="s">
        <v>24</v>
      </c>
      <c r="D42" s="1" t="s">
        <v>21</v>
      </c>
      <c r="E42" s="3" t="s">
        <v>238</v>
      </c>
      <c r="F42" s="37" t="s">
        <v>239</v>
      </c>
      <c r="G42" s="44">
        <v>45937</v>
      </c>
      <c r="H42" s="3" t="s">
        <v>102</v>
      </c>
      <c r="I42" s="44"/>
      <c r="J42" s="3"/>
      <c r="K42" s="1"/>
      <c r="L42" s="46"/>
      <c r="M42" s="1"/>
      <c r="N42" s="1"/>
      <c r="O42" s="5"/>
      <c r="P42" s="1"/>
      <c r="Q42" s="1"/>
    </row>
    <row r="43" spans="1:17" x14ac:dyDescent="0.25">
      <c r="A43" s="1"/>
      <c r="B43" s="1"/>
      <c r="C43" s="2" t="s">
        <v>24</v>
      </c>
      <c r="D43" s="1" t="s">
        <v>21</v>
      </c>
      <c r="E43" s="3" t="s">
        <v>240</v>
      </c>
      <c r="F43" s="37" t="s">
        <v>241</v>
      </c>
      <c r="G43" s="44">
        <v>45937</v>
      </c>
      <c r="H43" s="3" t="s">
        <v>102</v>
      </c>
      <c r="I43" s="44"/>
      <c r="J43" s="3"/>
      <c r="K43" s="1"/>
      <c r="L43" s="46"/>
      <c r="M43" s="1"/>
      <c r="N43" s="1"/>
      <c r="O43" s="5"/>
      <c r="P43" s="1"/>
      <c r="Q43" s="1"/>
    </row>
    <row r="44" spans="1:17" x14ac:dyDescent="0.25">
      <c r="A44" s="1"/>
      <c r="B44" s="1"/>
      <c r="C44" s="2" t="s">
        <v>24</v>
      </c>
      <c r="D44" s="1" t="s">
        <v>21</v>
      </c>
      <c r="E44" s="3" t="s">
        <v>242</v>
      </c>
      <c r="F44" s="37" t="s">
        <v>243</v>
      </c>
      <c r="G44" s="44">
        <v>45937</v>
      </c>
      <c r="H44" s="3" t="s">
        <v>102</v>
      </c>
      <c r="I44" s="44"/>
      <c r="J44" s="3"/>
      <c r="K44" s="1"/>
      <c r="L44" s="46"/>
      <c r="M44" s="1"/>
      <c r="N44" s="1"/>
      <c r="O44" s="5"/>
      <c r="P44" s="1"/>
      <c r="Q44" s="1"/>
    </row>
    <row r="45" spans="1:17" x14ac:dyDescent="0.25">
      <c r="A45" s="1"/>
      <c r="B45" s="1"/>
      <c r="C45" s="2" t="s">
        <v>24</v>
      </c>
      <c r="D45" s="1" t="s">
        <v>21</v>
      </c>
      <c r="E45" s="3" t="s">
        <v>244</v>
      </c>
      <c r="F45" s="37" t="s">
        <v>245</v>
      </c>
      <c r="G45" s="44">
        <v>45937</v>
      </c>
      <c r="H45" s="3" t="s">
        <v>102</v>
      </c>
      <c r="I45" s="44"/>
      <c r="J45" s="3"/>
      <c r="K45" s="1"/>
      <c r="L45" s="46"/>
      <c r="M45" s="1"/>
      <c r="N45" s="1"/>
      <c r="O45" s="5"/>
      <c r="P45" s="1"/>
      <c r="Q45" s="1"/>
    </row>
    <row r="46" spans="1:17" x14ac:dyDescent="0.25">
      <c r="A46" s="1"/>
      <c r="B46" s="1"/>
      <c r="C46" s="2" t="s">
        <v>24</v>
      </c>
      <c r="D46" s="1" t="s">
        <v>21</v>
      </c>
      <c r="E46" s="3" t="s">
        <v>246</v>
      </c>
      <c r="F46" s="37" t="s">
        <v>247</v>
      </c>
      <c r="G46" s="44">
        <v>45937</v>
      </c>
      <c r="H46" s="3" t="s">
        <v>102</v>
      </c>
      <c r="I46" s="44"/>
      <c r="J46" s="3"/>
      <c r="K46" s="1"/>
      <c r="L46" s="46"/>
      <c r="M46" s="1"/>
      <c r="N46" s="1"/>
      <c r="O46" s="5"/>
      <c r="P46" s="1"/>
      <c r="Q46" s="1"/>
    </row>
    <row r="47" spans="1:17" x14ac:dyDescent="0.25">
      <c r="A47" s="1"/>
      <c r="B47" s="1"/>
      <c r="C47" s="2" t="s">
        <v>24</v>
      </c>
      <c r="D47" s="1" t="s">
        <v>21</v>
      </c>
      <c r="E47" s="3" t="s">
        <v>248</v>
      </c>
      <c r="F47" s="37" t="s">
        <v>249</v>
      </c>
      <c r="G47" s="44">
        <v>45937</v>
      </c>
      <c r="H47" s="3" t="s">
        <v>102</v>
      </c>
      <c r="I47" s="44"/>
      <c r="J47" s="3"/>
      <c r="K47" s="1"/>
      <c r="L47" s="46"/>
      <c r="M47" s="1"/>
      <c r="N47" s="1"/>
      <c r="O47" s="5"/>
      <c r="P47" s="1"/>
      <c r="Q47" s="1"/>
    </row>
    <row r="48" spans="1:17" x14ac:dyDescent="0.25">
      <c r="A48" s="29"/>
      <c r="B48" s="29"/>
      <c r="C48" s="24"/>
      <c r="D48" s="29"/>
      <c r="E48" s="24"/>
      <c r="F48" s="36"/>
      <c r="G48" s="43"/>
      <c r="H48" s="29"/>
      <c r="I48" s="29"/>
      <c r="J48" s="29"/>
      <c r="K48" s="29"/>
      <c r="L48" s="43"/>
      <c r="M48" s="29"/>
      <c r="N48" s="29"/>
      <c r="O48" s="29"/>
      <c r="P48" s="29"/>
      <c r="Q48" s="29"/>
    </row>
    <row r="49" spans="1:17" x14ac:dyDescent="0.25">
      <c r="A49" s="1">
        <v>2</v>
      </c>
      <c r="B49" s="1"/>
      <c r="C49" s="2" t="s">
        <v>20</v>
      </c>
      <c r="D49" s="1" t="s">
        <v>21</v>
      </c>
      <c r="E49" s="3" t="s">
        <v>105</v>
      </c>
      <c r="F49" s="37" t="s">
        <v>30</v>
      </c>
      <c r="G49" s="44">
        <v>45972</v>
      </c>
      <c r="H49" s="3" t="s">
        <v>27</v>
      </c>
      <c r="I49" s="44">
        <v>45994</v>
      </c>
      <c r="J49" s="3"/>
      <c r="K49" s="4"/>
      <c r="L49" s="45">
        <v>19.937000000000001</v>
      </c>
      <c r="M49" s="5"/>
      <c r="N49" s="5"/>
      <c r="O49" s="5" t="s">
        <v>339</v>
      </c>
      <c r="P49" s="1"/>
      <c r="Q49" s="1"/>
    </row>
    <row r="50" spans="1:17" x14ac:dyDescent="0.25">
      <c r="A50" s="1"/>
      <c r="B50" s="1"/>
      <c r="C50" s="2" t="s">
        <v>20</v>
      </c>
      <c r="D50" s="1" t="s">
        <v>21</v>
      </c>
      <c r="E50" s="3" t="s">
        <v>106</v>
      </c>
      <c r="F50" s="37" t="s">
        <v>31</v>
      </c>
      <c r="G50" s="44">
        <v>45972</v>
      </c>
      <c r="H50" s="3" t="s">
        <v>27</v>
      </c>
      <c r="I50" s="44">
        <v>46024</v>
      </c>
      <c r="J50" s="3"/>
      <c r="K50" s="4"/>
      <c r="L50" s="45">
        <v>1.9810000000000001</v>
      </c>
      <c r="M50" s="5"/>
      <c r="N50" s="5"/>
      <c r="O50" s="5" t="s">
        <v>339</v>
      </c>
      <c r="P50" s="1"/>
      <c r="Q50" s="1"/>
    </row>
    <row r="51" spans="1:17" x14ac:dyDescent="0.25">
      <c r="A51" s="1"/>
      <c r="B51" s="1"/>
      <c r="C51" s="2" t="s">
        <v>20</v>
      </c>
      <c r="D51" s="1" t="s">
        <v>21</v>
      </c>
      <c r="E51" s="3" t="s">
        <v>107</v>
      </c>
      <c r="F51" s="37" t="s">
        <v>32</v>
      </c>
      <c r="G51" s="44">
        <v>45972</v>
      </c>
      <c r="H51" s="3" t="s">
        <v>27</v>
      </c>
      <c r="I51" s="44">
        <v>46041</v>
      </c>
      <c r="J51" s="3"/>
      <c r="K51" s="4"/>
      <c r="L51" s="45">
        <v>30.004999999999999</v>
      </c>
      <c r="M51" s="5"/>
      <c r="N51" s="5"/>
      <c r="O51" s="5" t="s">
        <v>339</v>
      </c>
      <c r="P51" s="1"/>
      <c r="Q51" s="1"/>
    </row>
    <row r="52" spans="1:17" x14ac:dyDescent="0.25">
      <c r="A52" s="1"/>
      <c r="B52" s="1"/>
      <c r="C52" s="2" t="s">
        <v>20</v>
      </c>
      <c r="D52" s="1" t="s">
        <v>21</v>
      </c>
      <c r="E52" s="3"/>
      <c r="F52" s="37" t="s">
        <v>33</v>
      </c>
      <c r="G52" s="44">
        <v>45972</v>
      </c>
      <c r="H52" s="3" t="s">
        <v>102</v>
      </c>
      <c r="I52" s="44"/>
      <c r="J52" s="3"/>
      <c r="K52" s="4"/>
      <c r="L52" s="5"/>
      <c r="M52" s="5"/>
      <c r="N52" s="5"/>
      <c r="O52" s="5"/>
      <c r="P52" s="1"/>
      <c r="Q52" s="1"/>
    </row>
    <row r="53" spans="1:17" x14ac:dyDescent="0.25">
      <c r="A53" s="1"/>
      <c r="B53" s="1"/>
      <c r="C53" s="2" t="s">
        <v>20</v>
      </c>
      <c r="D53" s="1" t="s">
        <v>21</v>
      </c>
      <c r="E53" s="3"/>
      <c r="F53" s="37" t="s">
        <v>34</v>
      </c>
      <c r="G53" s="44">
        <v>45972</v>
      </c>
      <c r="H53" s="3" t="s">
        <v>27</v>
      </c>
      <c r="I53" s="44"/>
      <c r="J53" s="3"/>
      <c r="K53" s="4"/>
      <c r="L53" s="5"/>
      <c r="M53" s="5"/>
      <c r="N53" s="5"/>
      <c r="O53" s="5"/>
      <c r="P53" s="1"/>
      <c r="Q53" s="1"/>
    </row>
    <row r="54" spans="1:17" x14ac:dyDescent="0.25">
      <c r="A54" s="1"/>
      <c r="B54" s="1"/>
      <c r="C54" s="2" t="s">
        <v>20</v>
      </c>
      <c r="D54" s="1" t="s">
        <v>21</v>
      </c>
      <c r="E54" s="3"/>
      <c r="F54" s="37" t="s">
        <v>35</v>
      </c>
      <c r="G54" s="44">
        <v>45972</v>
      </c>
      <c r="H54" s="3" t="s">
        <v>102</v>
      </c>
      <c r="I54" s="44"/>
      <c r="J54" s="3"/>
      <c r="K54" s="4"/>
      <c r="L54" s="5"/>
      <c r="M54" s="5"/>
      <c r="N54" s="5"/>
      <c r="O54" s="5"/>
      <c r="P54" s="1"/>
      <c r="Q54" s="1"/>
    </row>
    <row r="55" spans="1:17" x14ac:dyDescent="0.25">
      <c r="A55" s="1"/>
      <c r="B55" s="1"/>
      <c r="C55" s="2" t="s">
        <v>20</v>
      </c>
      <c r="D55" s="1" t="s">
        <v>21</v>
      </c>
      <c r="E55" s="3"/>
      <c r="F55" s="37" t="s">
        <v>36</v>
      </c>
      <c r="G55" s="44">
        <v>45972</v>
      </c>
      <c r="H55" s="3" t="s">
        <v>27</v>
      </c>
      <c r="I55" s="44"/>
      <c r="J55" s="3"/>
      <c r="K55" s="4"/>
      <c r="L55" s="5"/>
      <c r="M55" s="5"/>
      <c r="N55" s="5"/>
      <c r="O55" s="5"/>
      <c r="P55" s="1"/>
      <c r="Q55" s="1"/>
    </row>
    <row r="56" spans="1:17" x14ac:dyDescent="0.25">
      <c r="A56" s="1"/>
      <c r="B56" s="1"/>
      <c r="C56" s="2" t="s">
        <v>20</v>
      </c>
      <c r="D56" s="1" t="s">
        <v>21</v>
      </c>
      <c r="E56" s="3"/>
      <c r="F56" s="37" t="s">
        <v>37</v>
      </c>
      <c r="G56" s="44">
        <v>45972</v>
      </c>
      <c r="H56" s="3" t="s">
        <v>102</v>
      </c>
      <c r="I56" s="44"/>
      <c r="J56" s="3"/>
      <c r="K56" s="4"/>
      <c r="L56" s="5"/>
      <c r="M56" s="5"/>
      <c r="N56" s="5"/>
      <c r="O56" s="5"/>
      <c r="P56" s="1"/>
      <c r="Q56" s="1"/>
    </row>
    <row r="57" spans="1:17" x14ac:dyDescent="0.25">
      <c r="A57" s="1"/>
      <c r="B57" s="1"/>
      <c r="C57" s="2" t="s">
        <v>20</v>
      </c>
      <c r="D57" s="1" t="s">
        <v>21</v>
      </c>
      <c r="E57" s="3"/>
      <c r="F57" s="37" t="s">
        <v>38</v>
      </c>
      <c r="G57" s="44">
        <v>45972</v>
      </c>
      <c r="H57" s="3" t="s">
        <v>27</v>
      </c>
      <c r="I57" s="44"/>
      <c r="J57" s="3"/>
      <c r="K57" s="4"/>
      <c r="L57" s="5"/>
      <c r="M57" s="5"/>
      <c r="N57" s="5"/>
      <c r="O57" s="5"/>
      <c r="P57" s="1"/>
      <c r="Q57" s="1"/>
    </row>
    <row r="58" spans="1:17" x14ac:dyDescent="0.25">
      <c r="A58" s="1"/>
      <c r="B58" s="1"/>
      <c r="C58" s="2" t="s">
        <v>20</v>
      </c>
      <c r="D58" s="1" t="s">
        <v>21</v>
      </c>
      <c r="E58" s="3"/>
      <c r="F58" s="37" t="s">
        <v>39</v>
      </c>
      <c r="G58" s="44">
        <v>45972</v>
      </c>
      <c r="H58" s="3" t="s">
        <v>102</v>
      </c>
      <c r="I58" s="44"/>
      <c r="J58" s="3"/>
      <c r="K58" s="4"/>
      <c r="L58" s="5"/>
      <c r="M58" s="5"/>
      <c r="N58" s="5"/>
      <c r="O58" s="5"/>
      <c r="P58" s="1"/>
      <c r="Q58" s="1"/>
    </row>
    <row r="59" spans="1:17" x14ac:dyDescent="0.25">
      <c r="A59" s="1"/>
      <c r="B59" s="1"/>
      <c r="C59" s="2" t="s">
        <v>20</v>
      </c>
      <c r="D59" s="1" t="s">
        <v>21</v>
      </c>
      <c r="E59" s="3"/>
      <c r="F59" s="37" t="s">
        <v>40</v>
      </c>
      <c r="G59" s="44">
        <v>45972</v>
      </c>
      <c r="H59" s="3" t="s">
        <v>27</v>
      </c>
      <c r="I59" s="44"/>
      <c r="J59" s="3"/>
      <c r="K59" s="4"/>
      <c r="L59" s="5"/>
      <c r="M59" s="5"/>
      <c r="N59" s="5"/>
      <c r="O59" s="5"/>
      <c r="P59" s="1"/>
      <c r="Q59" s="1"/>
    </row>
    <row r="60" spans="1:17" x14ac:dyDescent="0.25">
      <c r="A60" s="1"/>
      <c r="B60" s="1"/>
      <c r="C60" s="2" t="s">
        <v>20</v>
      </c>
      <c r="D60" s="1" t="s">
        <v>21</v>
      </c>
      <c r="E60" s="3"/>
      <c r="F60" s="37" t="s">
        <v>41</v>
      </c>
      <c r="G60" s="44">
        <v>45972</v>
      </c>
      <c r="H60" s="3" t="s">
        <v>102</v>
      </c>
      <c r="I60" s="44"/>
      <c r="J60" s="3"/>
      <c r="K60" s="4"/>
      <c r="L60" s="5"/>
      <c r="M60" s="5"/>
      <c r="N60" s="5"/>
      <c r="O60" s="5"/>
      <c r="P60" s="1"/>
      <c r="Q60" s="1"/>
    </row>
    <row r="61" spans="1:17" x14ac:dyDescent="0.25">
      <c r="A61" s="1"/>
      <c r="B61" s="1"/>
      <c r="C61" s="2" t="s">
        <v>20</v>
      </c>
      <c r="D61" s="1" t="s">
        <v>21</v>
      </c>
      <c r="E61" s="3"/>
      <c r="F61" s="37" t="s">
        <v>42</v>
      </c>
      <c r="G61" s="44">
        <v>45972</v>
      </c>
      <c r="H61" s="3" t="s">
        <v>102</v>
      </c>
      <c r="I61" s="44"/>
      <c r="J61" s="3"/>
      <c r="K61" s="4"/>
      <c r="L61" s="5"/>
      <c r="M61" s="5"/>
      <c r="N61" s="5"/>
      <c r="O61" s="5"/>
      <c r="P61" s="1"/>
      <c r="Q61" s="1"/>
    </row>
    <row r="62" spans="1:17" x14ac:dyDescent="0.25">
      <c r="A62" s="1"/>
      <c r="B62" s="1"/>
      <c r="C62" s="2" t="s">
        <v>20</v>
      </c>
      <c r="D62" s="1" t="s">
        <v>21</v>
      </c>
      <c r="E62" s="3" t="s">
        <v>108</v>
      </c>
      <c r="F62" s="37" t="s">
        <v>43</v>
      </c>
      <c r="G62" s="44">
        <v>45972</v>
      </c>
      <c r="H62" s="3" t="s">
        <v>27</v>
      </c>
      <c r="I62" s="44">
        <v>46044</v>
      </c>
      <c r="J62" s="3"/>
      <c r="K62" s="4"/>
      <c r="L62" s="45">
        <v>17.995000000000001</v>
      </c>
      <c r="M62" s="5"/>
      <c r="N62" s="5"/>
      <c r="O62" s="5" t="s">
        <v>339</v>
      </c>
      <c r="P62" s="1"/>
      <c r="Q62" s="1"/>
    </row>
    <row r="63" spans="1:17" x14ac:dyDescent="0.25">
      <c r="A63" s="1"/>
      <c r="B63" s="1"/>
      <c r="C63" s="2" t="s">
        <v>20</v>
      </c>
      <c r="D63" s="1" t="s">
        <v>21</v>
      </c>
      <c r="E63" s="3" t="s">
        <v>109</v>
      </c>
      <c r="F63" s="37" t="s">
        <v>44</v>
      </c>
      <c r="G63" s="44">
        <v>45972</v>
      </c>
      <c r="H63" s="3" t="s">
        <v>27</v>
      </c>
      <c r="I63" s="44">
        <v>46049</v>
      </c>
      <c r="J63" s="3"/>
      <c r="K63" s="4"/>
      <c r="L63" s="45">
        <v>1.4610000000000001</v>
      </c>
      <c r="M63" s="5"/>
      <c r="N63" s="5"/>
      <c r="O63" s="5" t="s">
        <v>339</v>
      </c>
      <c r="P63" s="1"/>
      <c r="Q63" s="1"/>
    </row>
    <row r="64" spans="1:17" x14ac:dyDescent="0.25">
      <c r="A64" s="1"/>
      <c r="B64" s="1"/>
      <c r="C64" s="2" t="s">
        <v>20</v>
      </c>
      <c r="D64" s="1" t="s">
        <v>21</v>
      </c>
      <c r="E64" s="3"/>
      <c r="F64" s="37" t="s">
        <v>45</v>
      </c>
      <c r="G64" s="44">
        <v>45972</v>
      </c>
      <c r="H64" s="3" t="s">
        <v>27</v>
      </c>
      <c r="I64" s="44"/>
      <c r="J64" s="3"/>
      <c r="K64" s="4"/>
      <c r="L64" s="5"/>
      <c r="M64" s="5"/>
      <c r="N64" s="5"/>
      <c r="O64" s="5"/>
      <c r="P64" s="1"/>
      <c r="Q64" s="1"/>
    </row>
    <row r="65" spans="1:17" x14ac:dyDescent="0.25">
      <c r="A65" s="1"/>
      <c r="B65" s="1"/>
      <c r="C65" s="2" t="s">
        <v>20</v>
      </c>
      <c r="D65" s="1" t="s">
        <v>21</v>
      </c>
      <c r="E65" s="3"/>
      <c r="F65" s="37" t="s">
        <v>46</v>
      </c>
      <c r="G65" s="44">
        <v>45972</v>
      </c>
      <c r="H65" s="3" t="s">
        <v>102</v>
      </c>
      <c r="I65" s="44"/>
      <c r="J65" s="3"/>
      <c r="K65" s="4"/>
      <c r="L65" s="5"/>
      <c r="M65" s="5"/>
      <c r="N65" s="5"/>
      <c r="O65" s="5"/>
      <c r="P65" s="1"/>
      <c r="Q65" s="1"/>
    </row>
    <row r="66" spans="1:17" x14ac:dyDescent="0.25">
      <c r="A66" s="1"/>
      <c r="B66" s="1"/>
      <c r="C66" s="2" t="s">
        <v>20</v>
      </c>
      <c r="D66" s="1" t="s">
        <v>21</v>
      </c>
      <c r="E66" s="3"/>
      <c r="F66" s="37" t="s">
        <v>47</v>
      </c>
      <c r="G66" s="44">
        <v>45972</v>
      </c>
      <c r="H66" s="3" t="s">
        <v>27</v>
      </c>
      <c r="I66" s="44"/>
      <c r="J66" s="3"/>
      <c r="K66" s="4"/>
      <c r="L66" s="5"/>
      <c r="M66" s="5"/>
      <c r="N66" s="5"/>
      <c r="O66" s="5"/>
      <c r="P66" s="1"/>
      <c r="Q66" s="1"/>
    </row>
    <row r="67" spans="1:17" x14ac:dyDescent="0.25">
      <c r="A67" s="1"/>
      <c r="B67" s="1"/>
      <c r="C67" s="2" t="s">
        <v>20</v>
      </c>
      <c r="D67" s="1" t="s">
        <v>21</v>
      </c>
      <c r="E67" s="3"/>
      <c r="F67" s="37" t="s">
        <v>48</v>
      </c>
      <c r="G67" s="44">
        <v>45972</v>
      </c>
      <c r="H67" s="3" t="s">
        <v>102</v>
      </c>
      <c r="I67" s="44"/>
      <c r="J67" s="3"/>
      <c r="K67" s="4"/>
      <c r="L67" s="5"/>
      <c r="M67" s="5"/>
      <c r="N67" s="5"/>
      <c r="O67" s="5"/>
      <c r="P67" s="1"/>
      <c r="Q67" s="1"/>
    </row>
    <row r="68" spans="1:17" x14ac:dyDescent="0.25">
      <c r="A68" s="1"/>
      <c r="B68" s="1"/>
      <c r="C68" s="2" t="s">
        <v>20</v>
      </c>
      <c r="D68" s="1" t="s">
        <v>21</v>
      </c>
      <c r="E68" s="3"/>
      <c r="F68" s="37" t="s">
        <v>49</v>
      </c>
      <c r="G68" s="44">
        <v>45972</v>
      </c>
      <c r="H68" s="3" t="s">
        <v>27</v>
      </c>
      <c r="I68" s="44"/>
      <c r="J68" s="3"/>
      <c r="K68" s="4"/>
      <c r="L68" s="5"/>
      <c r="M68" s="5"/>
      <c r="N68" s="5"/>
      <c r="O68" s="5"/>
      <c r="P68" s="1"/>
      <c r="Q68" s="1"/>
    </row>
    <row r="69" spans="1:17" x14ac:dyDescent="0.25">
      <c r="A69" s="1"/>
      <c r="B69" s="1"/>
      <c r="C69" s="2" t="s">
        <v>20</v>
      </c>
      <c r="D69" s="1" t="s">
        <v>21</v>
      </c>
      <c r="E69" s="3"/>
      <c r="F69" s="37" t="s">
        <v>50</v>
      </c>
      <c r="G69" s="44">
        <v>45972</v>
      </c>
      <c r="H69" s="3" t="s">
        <v>102</v>
      </c>
      <c r="I69" s="44"/>
      <c r="J69" s="3"/>
      <c r="K69" s="4"/>
      <c r="L69" s="5"/>
      <c r="M69" s="5"/>
      <c r="N69" s="5"/>
      <c r="O69" s="5"/>
      <c r="P69" s="1"/>
      <c r="Q69" s="1"/>
    </row>
    <row r="70" spans="1:17" x14ac:dyDescent="0.25">
      <c r="A70" s="1"/>
      <c r="B70" s="1"/>
      <c r="C70" s="2" t="s">
        <v>20</v>
      </c>
      <c r="D70" s="1" t="s">
        <v>21</v>
      </c>
      <c r="E70" s="3"/>
      <c r="F70" s="37" t="s">
        <v>51</v>
      </c>
      <c r="G70" s="44">
        <v>45972</v>
      </c>
      <c r="H70" s="3" t="s">
        <v>27</v>
      </c>
      <c r="I70" s="44"/>
      <c r="J70" s="3"/>
      <c r="K70" s="4"/>
      <c r="L70" s="5"/>
      <c r="M70" s="5"/>
      <c r="N70" s="5"/>
      <c r="O70" s="5"/>
      <c r="P70" s="1"/>
      <c r="Q70" s="1"/>
    </row>
    <row r="71" spans="1:17" x14ac:dyDescent="0.25">
      <c r="A71" s="1"/>
      <c r="B71" s="1"/>
      <c r="C71" s="2" t="s">
        <v>20</v>
      </c>
      <c r="D71" s="1" t="s">
        <v>21</v>
      </c>
      <c r="E71" s="3"/>
      <c r="F71" s="37" t="s">
        <v>52</v>
      </c>
      <c r="G71" s="44">
        <v>45972</v>
      </c>
      <c r="H71" s="3" t="s">
        <v>102</v>
      </c>
      <c r="I71" s="44"/>
      <c r="J71" s="3"/>
      <c r="K71" s="4"/>
      <c r="L71" s="5"/>
      <c r="M71" s="5"/>
      <c r="N71" s="5"/>
      <c r="O71" s="5"/>
      <c r="P71" s="1"/>
      <c r="Q71" s="1"/>
    </row>
    <row r="72" spans="1:17" x14ac:dyDescent="0.25">
      <c r="A72" s="1"/>
      <c r="B72" s="1"/>
      <c r="C72" s="2" t="s">
        <v>20</v>
      </c>
      <c r="D72" s="1" t="s">
        <v>21</v>
      </c>
      <c r="E72" s="3"/>
      <c r="F72" s="37" t="s">
        <v>53</v>
      </c>
      <c r="G72" s="44">
        <v>45972</v>
      </c>
      <c r="H72" s="3" t="s">
        <v>27</v>
      </c>
      <c r="I72" s="44"/>
      <c r="J72" s="3"/>
      <c r="K72" s="4"/>
      <c r="L72" s="5"/>
      <c r="M72" s="5"/>
      <c r="N72" s="5"/>
      <c r="O72" s="5"/>
      <c r="P72" s="1"/>
      <c r="Q72" s="1"/>
    </row>
    <row r="73" spans="1:17" x14ac:dyDescent="0.25">
      <c r="A73" s="1"/>
      <c r="B73" s="1"/>
      <c r="C73" s="2" t="s">
        <v>20</v>
      </c>
      <c r="D73" s="1" t="s">
        <v>21</v>
      </c>
      <c r="E73" s="3"/>
      <c r="F73" s="37" t="s">
        <v>54</v>
      </c>
      <c r="G73" s="44">
        <v>45972</v>
      </c>
      <c r="H73" s="3" t="s">
        <v>102</v>
      </c>
      <c r="I73" s="44"/>
      <c r="J73" s="3"/>
      <c r="K73" s="4"/>
      <c r="L73" s="5"/>
      <c r="M73" s="5"/>
      <c r="N73" s="5"/>
      <c r="O73" s="5"/>
      <c r="P73" s="1"/>
      <c r="Q73" s="1"/>
    </row>
    <row r="74" spans="1:17" x14ac:dyDescent="0.25">
      <c r="A74" s="1"/>
      <c r="B74" s="1"/>
      <c r="C74" s="2" t="s">
        <v>20</v>
      </c>
      <c r="D74" s="1" t="s">
        <v>21</v>
      </c>
      <c r="E74" s="3"/>
      <c r="F74" s="37" t="s">
        <v>55</v>
      </c>
      <c r="G74" s="44">
        <v>45972</v>
      </c>
      <c r="H74" s="3" t="s">
        <v>22</v>
      </c>
      <c r="I74" s="44"/>
      <c r="J74" s="3"/>
      <c r="K74" s="4"/>
      <c r="L74" s="5"/>
      <c r="M74" s="5"/>
      <c r="N74" s="5"/>
      <c r="O74" s="5"/>
      <c r="P74" s="1"/>
      <c r="Q74" s="1"/>
    </row>
    <row r="75" spans="1:17" x14ac:dyDescent="0.25">
      <c r="A75" s="1"/>
      <c r="B75" s="1"/>
      <c r="C75" s="2" t="s">
        <v>20</v>
      </c>
      <c r="D75" s="1" t="s">
        <v>21</v>
      </c>
      <c r="E75" s="3" t="s">
        <v>110</v>
      </c>
      <c r="F75" s="37" t="s">
        <v>56</v>
      </c>
      <c r="G75" s="44">
        <v>45972</v>
      </c>
      <c r="H75" s="3" t="s">
        <v>27</v>
      </c>
      <c r="I75" s="44">
        <v>46004</v>
      </c>
      <c r="J75" s="3"/>
      <c r="K75" s="4"/>
      <c r="L75" s="45">
        <v>17.754999999999999</v>
      </c>
      <c r="M75" s="5"/>
      <c r="N75" s="5"/>
      <c r="O75" s="5" t="s">
        <v>339</v>
      </c>
      <c r="P75" s="1"/>
      <c r="Q75" s="1"/>
    </row>
    <row r="76" spans="1:17" x14ac:dyDescent="0.25">
      <c r="A76" s="1"/>
      <c r="B76" s="1"/>
      <c r="C76" s="2" t="s">
        <v>20</v>
      </c>
      <c r="D76" s="1" t="s">
        <v>21</v>
      </c>
      <c r="E76" s="3" t="s">
        <v>111</v>
      </c>
      <c r="F76" s="37" t="s">
        <v>57</v>
      </c>
      <c r="G76" s="44">
        <v>45972</v>
      </c>
      <c r="H76" s="3" t="s">
        <v>27</v>
      </c>
      <c r="I76" s="44">
        <v>46013</v>
      </c>
      <c r="J76" s="3"/>
      <c r="K76" s="4"/>
      <c r="L76" s="45">
        <v>1.637</v>
      </c>
      <c r="M76" s="5"/>
      <c r="N76" s="5"/>
      <c r="O76" s="5" t="s">
        <v>339</v>
      </c>
      <c r="P76" s="1"/>
      <c r="Q76" s="1"/>
    </row>
    <row r="77" spans="1:17" x14ac:dyDescent="0.25">
      <c r="A77" s="1"/>
      <c r="B77" s="1"/>
      <c r="C77" s="2" t="s">
        <v>20</v>
      </c>
      <c r="D77" s="1" t="s">
        <v>21</v>
      </c>
      <c r="E77" s="3" t="s">
        <v>112</v>
      </c>
      <c r="F77" s="37" t="s">
        <v>58</v>
      </c>
      <c r="G77" s="44">
        <v>45972</v>
      </c>
      <c r="H77" s="3" t="s">
        <v>27</v>
      </c>
      <c r="I77" s="44">
        <v>46041</v>
      </c>
      <c r="J77" s="3"/>
      <c r="K77" s="4"/>
      <c r="L77" s="45">
        <v>25.123000000000001</v>
      </c>
      <c r="M77" s="5"/>
      <c r="N77" s="5"/>
      <c r="O77" s="5" t="s">
        <v>339</v>
      </c>
      <c r="P77" s="1"/>
      <c r="Q77" s="1"/>
    </row>
    <row r="78" spans="1:17" x14ac:dyDescent="0.25">
      <c r="A78" s="1"/>
      <c r="B78" s="1"/>
      <c r="C78" s="2" t="s">
        <v>20</v>
      </c>
      <c r="D78" s="1" t="s">
        <v>21</v>
      </c>
      <c r="E78" s="3" t="s">
        <v>113</v>
      </c>
      <c r="F78" s="37" t="s">
        <v>103</v>
      </c>
      <c r="G78" s="44">
        <v>45972</v>
      </c>
      <c r="H78" s="3" t="s">
        <v>27</v>
      </c>
      <c r="I78" s="44">
        <v>46057</v>
      </c>
      <c r="J78" s="3"/>
      <c r="K78" s="4"/>
      <c r="L78" s="45">
        <v>3.4689999999999999</v>
      </c>
      <c r="M78" s="5"/>
      <c r="N78" s="5"/>
      <c r="O78" s="5" t="s">
        <v>339</v>
      </c>
      <c r="P78" s="1"/>
      <c r="Q78" s="1"/>
    </row>
    <row r="79" spans="1:17" x14ac:dyDescent="0.25">
      <c r="A79" s="1"/>
      <c r="B79" s="1"/>
      <c r="C79" s="2" t="s">
        <v>20</v>
      </c>
      <c r="D79" s="1" t="s">
        <v>21</v>
      </c>
      <c r="E79" s="3" t="s">
        <v>114</v>
      </c>
      <c r="F79" s="37" t="s">
        <v>59</v>
      </c>
      <c r="G79" s="44">
        <v>45972</v>
      </c>
      <c r="H79" s="3" t="s">
        <v>27</v>
      </c>
      <c r="I79" s="44">
        <v>46104</v>
      </c>
      <c r="J79" s="3"/>
      <c r="K79" s="4"/>
      <c r="L79" s="45">
        <v>21.957000000000001</v>
      </c>
      <c r="M79" s="5"/>
      <c r="N79" s="5"/>
      <c r="O79" s="5" t="s">
        <v>339</v>
      </c>
      <c r="P79" s="1"/>
      <c r="Q79" s="1"/>
    </row>
    <row r="80" spans="1:17" x14ac:dyDescent="0.25">
      <c r="A80" s="1"/>
      <c r="B80" s="1"/>
      <c r="C80" s="2" t="s">
        <v>20</v>
      </c>
      <c r="D80" s="1" t="s">
        <v>21</v>
      </c>
      <c r="E80" s="3"/>
      <c r="F80" s="37" t="s">
        <v>60</v>
      </c>
      <c r="G80" s="44">
        <v>45972</v>
      </c>
      <c r="H80" s="3" t="s">
        <v>102</v>
      </c>
      <c r="I80" s="44"/>
      <c r="J80" s="3"/>
      <c r="K80" s="4"/>
      <c r="L80" s="5"/>
      <c r="M80" s="5"/>
      <c r="N80" s="5"/>
      <c r="O80" s="5"/>
      <c r="P80" s="1"/>
      <c r="Q80" s="1"/>
    </row>
    <row r="81" spans="1:17" x14ac:dyDescent="0.25">
      <c r="A81" s="1"/>
      <c r="B81" s="1"/>
      <c r="C81" s="2" t="s">
        <v>20</v>
      </c>
      <c r="D81" s="1" t="s">
        <v>21</v>
      </c>
      <c r="E81" s="3"/>
      <c r="F81" s="37" t="s">
        <v>61</v>
      </c>
      <c r="G81" s="44">
        <v>45972</v>
      </c>
      <c r="H81" s="3" t="s">
        <v>27</v>
      </c>
      <c r="I81" s="44">
        <v>46160</v>
      </c>
      <c r="J81" s="3"/>
      <c r="K81" s="4"/>
      <c r="L81" s="5"/>
      <c r="M81" s="5"/>
      <c r="N81" s="5"/>
      <c r="O81" s="5" t="s">
        <v>361</v>
      </c>
      <c r="P81" s="1"/>
      <c r="Q81" s="1"/>
    </row>
    <row r="82" spans="1:17" x14ac:dyDescent="0.25">
      <c r="A82" s="1"/>
      <c r="B82" s="1"/>
      <c r="C82" s="2" t="s">
        <v>20</v>
      </c>
      <c r="D82" s="1" t="s">
        <v>21</v>
      </c>
      <c r="E82" s="3"/>
      <c r="F82" s="37" t="s">
        <v>62</v>
      </c>
      <c r="G82" s="44">
        <v>45972</v>
      </c>
      <c r="H82" s="3" t="s">
        <v>102</v>
      </c>
      <c r="I82" s="44"/>
      <c r="J82" s="3"/>
      <c r="K82" s="4"/>
      <c r="L82" s="5"/>
      <c r="M82" s="5"/>
      <c r="N82" s="5"/>
      <c r="O82" s="5"/>
      <c r="P82" s="1"/>
      <c r="Q82" s="1"/>
    </row>
    <row r="83" spans="1:17" x14ac:dyDescent="0.25">
      <c r="A83" s="1"/>
      <c r="B83" s="1"/>
      <c r="C83" s="2" t="s">
        <v>20</v>
      </c>
      <c r="D83" s="1" t="s">
        <v>21</v>
      </c>
      <c r="E83" s="3"/>
      <c r="F83" s="37" t="s">
        <v>63</v>
      </c>
      <c r="G83" s="44">
        <v>45972</v>
      </c>
      <c r="H83" s="3" t="s">
        <v>27</v>
      </c>
      <c r="I83" s="44"/>
      <c r="J83" s="3"/>
      <c r="K83" s="4"/>
      <c r="L83" s="5"/>
      <c r="M83" s="5"/>
      <c r="N83" s="5"/>
      <c r="O83" s="5"/>
      <c r="P83" s="1"/>
      <c r="Q83" s="1"/>
    </row>
    <row r="84" spans="1:17" x14ac:dyDescent="0.25">
      <c r="A84" s="1"/>
      <c r="B84" s="1"/>
      <c r="C84" s="2" t="s">
        <v>20</v>
      </c>
      <c r="D84" s="1" t="s">
        <v>21</v>
      </c>
      <c r="E84" s="3"/>
      <c r="F84" s="37" t="s">
        <v>64</v>
      </c>
      <c r="G84" s="44">
        <v>45972</v>
      </c>
      <c r="H84" s="3" t="s">
        <v>102</v>
      </c>
      <c r="I84" s="44"/>
      <c r="J84" s="3"/>
      <c r="K84" s="4"/>
      <c r="L84" s="5"/>
      <c r="M84" s="5"/>
      <c r="N84" s="5"/>
      <c r="O84" s="5"/>
      <c r="P84" s="1"/>
      <c r="Q84" s="1"/>
    </row>
    <row r="85" spans="1:17" x14ac:dyDescent="0.25">
      <c r="A85" s="1"/>
      <c r="B85" s="1"/>
      <c r="C85" s="2" t="s">
        <v>20</v>
      </c>
      <c r="D85" s="1" t="s">
        <v>21</v>
      </c>
      <c r="E85" s="3"/>
      <c r="F85" s="37" t="s">
        <v>65</v>
      </c>
      <c r="G85" s="44">
        <v>45972</v>
      </c>
      <c r="H85" s="3" t="s">
        <v>27</v>
      </c>
      <c r="I85" s="44"/>
      <c r="J85" s="3"/>
      <c r="K85" s="4"/>
      <c r="L85" s="5"/>
      <c r="M85" s="5"/>
      <c r="N85" s="5"/>
      <c r="O85" s="5"/>
      <c r="P85" s="1"/>
      <c r="Q85" s="1"/>
    </row>
    <row r="86" spans="1:17" x14ac:dyDescent="0.25">
      <c r="A86" s="1"/>
      <c r="B86" s="1"/>
      <c r="C86" s="2" t="s">
        <v>20</v>
      </c>
      <c r="D86" s="1" t="s">
        <v>21</v>
      </c>
      <c r="E86" s="3"/>
      <c r="F86" s="37" t="s">
        <v>66</v>
      </c>
      <c r="G86" s="44">
        <v>45972</v>
      </c>
      <c r="H86" s="3" t="s">
        <v>102</v>
      </c>
      <c r="I86" s="44"/>
      <c r="J86" s="3"/>
      <c r="K86" s="4"/>
      <c r="L86" s="5"/>
      <c r="M86" s="5"/>
      <c r="N86" s="5"/>
      <c r="O86" s="5"/>
      <c r="P86" s="1"/>
      <c r="Q86" s="1"/>
    </row>
    <row r="87" spans="1:17" x14ac:dyDescent="0.25">
      <c r="A87" s="1"/>
      <c r="B87" s="1"/>
      <c r="C87" s="2" t="s">
        <v>20</v>
      </c>
      <c r="D87" s="1" t="s">
        <v>21</v>
      </c>
      <c r="E87" s="3"/>
      <c r="F87" s="37" t="s">
        <v>67</v>
      </c>
      <c r="G87" s="44">
        <v>45972</v>
      </c>
      <c r="H87" s="3" t="s">
        <v>27</v>
      </c>
      <c r="I87" s="44"/>
      <c r="J87" s="3"/>
      <c r="K87" s="4"/>
      <c r="L87" s="5"/>
      <c r="M87" s="5"/>
      <c r="N87" s="5"/>
      <c r="O87" s="5"/>
      <c r="P87" s="1"/>
      <c r="Q87" s="1"/>
    </row>
    <row r="88" spans="1:17" x14ac:dyDescent="0.25">
      <c r="A88" s="1"/>
      <c r="B88" s="1"/>
      <c r="C88" s="2" t="s">
        <v>20</v>
      </c>
      <c r="D88" s="1" t="s">
        <v>21</v>
      </c>
      <c r="E88" s="3" t="s">
        <v>115</v>
      </c>
      <c r="F88" s="37" t="s">
        <v>68</v>
      </c>
      <c r="G88" s="44">
        <v>45972</v>
      </c>
      <c r="H88" s="3" t="s">
        <v>27</v>
      </c>
      <c r="I88" s="44">
        <v>45659</v>
      </c>
      <c r="J88" s="3"/>
      <c r="K88" s="4"/>
      <c r="L88" s="45">
        <v>51.957999999999998</v>
      </c>
      <c r="M88" s="5"/>
      <c r="N88" s="5"/>
      <c r="O88" s="5" t="s">
        <v>339</v>
      </c>
      <c r="P88" s="1"/>
      <c r="Q88" s="1"/>
    </row>
    <row r="89" spans="1:17" x14ac:dyDescent="0.25">
      <c r="A89" s="1"/>
      <c r="B89" s="1"/>
      <c r="C89" s="2" t="s">
        <v>20</v>
      </c>
      <c r="D89" s="1" t="s">
        <v>21</v>
      </c>
      <c r="E89" s="3" t="s">
        <v>116</v>
      </c>
      <c r="F89" s="37" t="s">
        <v>69</v>
      </c>
      <c r="G89" s="44">
        <v>45972</v>
      </c>
      <c r="H89" s="3" t="s">
        <v>27</v>
      </c>
      <c r="I89" s="44">
        <v>46015</v>
      </c>
      <c r="J89" s="3"/>
      <c r="K89" s="4"/>
      <c r="L89" s="45">
        <v>2.0470000000000002</v>
      </c>
      <c r="M89" s="5"/>
      <c r="N89" s="5"/>
      <c r="O89" s="5" t="s">
        <v>339</v>
      </c>
      <c r="P89" s="1"/>
      <c r="Q89" s="1"/>
    </row>
    <row r="90" spans="1:17" x14ac:dyDescent="0.25">
      <c r="A90" s="1"/>
      <c r="B90" s="1"/>
      <c r="C90" s="2" t="s">
        <v>20</v>
      </c>
      <c r="D90" s="1" t="s">
        <v>21</v>
      </c>
      <c r="E90" s="3" t="s">
        <v>117</v>
      </c>
      <c r="F90" s="37" t="s">
        <v>70</v>
      </c>
      <c r="G90" s="44">
        <v>45972</v>
      </c>
      <c r="H90" s="3" t="s">
        <v>27</v>
      </c>
      <c r="I90" s="44">
        <v>46041</v>
      </c>
      <c r="J90" s="3"/>
      <c r="K90" s="4"/>
      <c r="L90" s="45">
        <v>41.042999999999999</v>
      </c>
      <c r="M90" s="5"/>
      <c r="N90" s="5"/>
      <c r="O90" s="5" t="s">
        <v>339</v>
      </c>
      <c r="P90" s="1"/>
      <c r="Q90" s="1"/>
    </row>
    <row r="91" spans="1:17" x14ac:dyDescent="0.25">
      <c r="A91" s="1"/>
      <c r="B91" s="1"/>
      <c r="C91" s="2" t="s">
        <v>20</v>
      </c>
      <c r="D91" s="1" t="s">
        <v>21</v>
      </c>
      <c r="E91" s="3" t="s">
        <v>118</v>
      </c>
      <c r="F91" s="37" t="s">
        <v>71</v>
      </c>
      <c r="G91" s="44">
        <v>45972</v>
      </c>
      <c r="H91" s="3" t="s">
        <v>27</v>
      </c>
      <c r="I91" s="44">
        <v>46064</v>
      </c>
      <c r="J91" s="3"/>
      <c r="K91" s="4"/>
      <c r="L91" s="45">
        <v>16.143999999999998</v>
      </c>
      <c r="M91" s="5"/>
      <c r="N91" s="5"/>
      <c r="O91" s="5" t="s">
        <v>339</v>
      </c>
      <c r="P91" s="1"/>
      <c r="Q91" s="1"/>
    </row>
    <row r="92" spans="1:17" x14ac:dyDescent="0.25">
      <c r="A92" s="1"/>
      <c r="B92" s="1"/>
      <c r="C92" s="2" t="s">
        <v>20</v>
      </c>
      <c r="D92" s="1" t="s">
        <v>21</v>
      </c>
      <c r="E92" s="3"/>
      <c r="F92" s="37" t="s">
        <v>72</v>
      </c>
      <c r="G92" s="44">
        <v>45972</v>
      </c>
      <c r="H92" s="3" t="s">
        <v>27</v>
      </c>
      <c r="I92" s="44">
        <v>46122</v>
      </c>
      <c r="J92" s="3"/>
      <c r="K92" s="4"/>
      <c r="L92" s="5">
        <v>87.971999999999994</v>
      </c>
      <c r="M92" s="5"/>
      <c r="N92" s="5"/>
      <c r="O92" s="5" t="s">
        <v>339</v>
      </c>
      <c r="P92" s="1"/>
      <c r="Q92" s="1"/>
    </row>
    <row r="93" spans="1:17" x14ac:dyDescent="0.25">
      <c r="A93" s="1"/>
      <c r="B93" s="1"/>
      <c r="C93" s="2" t="s">
        <v>20</v>
      </c>
      <c r="D93" s="1" t="s">
        <v>21</v>
      </c>
      <c r="E93" s="3"/>
      <c r="F93" s="37" t="s">
        <v>73</v>
      </c>
      <c r="G93" s="44">
        <v>45972</v>
      </c>
      <c r="H93" s="3" t="s">
        <v>102</v>
      </c>
      <c r="I93" s="44"/>
      <c r="J93" s="3"/>
      <c r="K93" s="4"/>
      <c r="L93" s="5"/>
      <c r="M93" s="5"/>
      <c r="N93" s="5"/>
      <c r="O93" s="5"/>
      <c r="P93" s="1"/>
      <c r="Q93" s="1"/>
    </row>
    <row r="94" spans="1:17" x14ac:dyDescent="0.25">
      <c r="A94" s="1"/>
      <c r="B94" s="1"/>
      <c r="C94" s="2" t="s">
        <v>20</v>
      </c>
      <c r="D94" s="1" t="s">
        <v>21</v>
      </c>
      <c r="E94" s="3"/>
      <c r="F94" s="37" t="s">
        <v>74</v>
      </c>
      <c r="G94" s="44">
        <v>45972</v>
      </c>
      <c r="H94" s="3" t="s">
        <v>27</v>
      </c>
      <c r="I94" s="44">
        <v>46136</v>
      </c>
      <c r="J94" s="3"/>
      <c r="K94" s="4"/>
      <c r="L94" s="5">
        <v>27.95</v>
      </c>
      <c r="M94" s="5"/>
      <c r="N94" s="5"/>
      <c r="O94" s="5" t="s">
        <v>361</v>
      </c>
      <c r="P94" s="1"/>
      <c r="Q94" s="1"/>
    </row>
    <row r="95" spans="1:17" x14ac:dyDescent="0.25">
      <c r="A95" s="1"/>
      <c r="B95" s="1"/>
      <c r="C95" s="2" t="s">
        <v>20</v>
      </c>
      <c r="D95" s="1" t="s">
        <v>21</v>
      </c>
      <c r="E95" s="3"/>
      <c r="F95" s="37" t="s">
        <v>75</v>
      </c>
      <c r="G95" s="44">
        <v>45972</v>
      </c>
      <c r="H95" s="3" t="s">
        <v>102</v>
      </c>
      <c r="I95" s="44"/>
      <c r="J95" s="3"/>
      <c r="K95" s="4"/>
      <c r="L95" s="5"/>
      <c r="M95" s="5"/>
      <c r="N95" s="5"/>
      <c r="O95" s="5"/>
      <c r="P95" s="1"/>
      <c r="Q95" s="1"/>
    </row>
    <row r="96" spans="1:17" x14ac:dyDescent="0.25">
      <c r="A96" s="1"/>
      <c r="B96" s="1"/>
      <c r="C96" s="2" t="s">
        <v>20</v>
      </c>
      <c r="D96" s="1" t="s">
        <v>21</v>
      </c>
      <c r="E96" s="3"/>
      <c r="F96" s="37" t="s">
        <v>76</v>
      </c>
      <c r="G96" s="44">
        <v>45972</v>
      </c>
      <c r="H96" s="3" t="s">
        <v>27</v>
      </c>
      <c r="I96" s="44">
        <v>46146</v>
      </c>
      <c r="J96" s="3"/>
      <c r="K96" s="4"/>
      <c r="L96" s="5"/>
      <c r="M96" s="5"/>
      <c r="N96" s="5"/>
      <c r="O96" s="5" t="s">
        <v>361</v>
      </c>
      <c r="P96" s="1"/>
      <c r="Q96" s="1"/>
    </row>
    <row r="97" spans="1:17" x14ac:dyDescent="0.25">
      <c r="A97" s="1"/>
      <c r="B97" s="1"/>
      <c r="C97" s="2" t="s">
        <v>20</v>
      </c>
      <c r="D97" s="1" t="s">
        <v>21</v>
      </c>
      <c r="E97" s="3"/>
      <c r="F97" s="37" t="s">
        <v>77</v>
      </c>
      <c r="G97" s="44">
        <v>45972</v>
      </c>
      <c r="H97" s="3" t="s">
        <v>102</v>
      </c>
      <c r="I97" s="44"/>
      <c r="J97" s="3"/>
      <c r="K97" s="4"/>
      <c r="L97" s="5"/>
      <c r="M97" s="5"/>
      <c r="N97" s="5"/>
      <c r="O97" s="5"/>
      <c r="P97" s="1"/>
      <c r="Q97" s="1"/>
    </row>
    <row r="98" spans="1:17" x14ac:dyDescent="0.25">
      <c r="A98" s="1"/>
      <c r="B98" s="1"/>
      <c r="C98" s="2" t="s">
        <v>20</v>
      </c>
      <c r="D98" s="1" t="s">
        <v>21</v>
      </c>
      <c r="E98" s="3"/>
      <c r="F98" s="37" t="s">
        <v>78</v>
      </c>
      <c r="G98" s="44">
        <v>45972</v>
      </c>
      <c r="H98" s="3" t="s">
        <v>27</v>
      </c>
      <c r="I98" s="44">
        <v>46146</v>
      </c>
      <c r="J98" s="3"/>
      <c r="K98" s="4"/>
      <c r="L98" s="5"/>
      <c r="M98" s="5"/>
      <c r="N98" s="5"/>
      <c r="O98" s="5" t="s">
        <v>361</v>
      </c>
      <c r="P98" s="1"/>
      <c r="Q98" s="1"/>
    </row>
    <row r="99" spans="1:17" x14ac:dyDescent="0.25">
      <c r="A99" s="1"/>
      <c r="B99" s="1"/>
      <c r="C99" s="2" t="s">
        <v>20</v>
      </c>
      <c r="D99" s="1" t="s">
        <v>21</v>
      </c>
      <c r="E99" s="3"/>
      <c r="F99" s="37" t="s">
        <v>79</v>
      </c>
      <c r="G99" s="44">
        <v>45972</v>
      </c>
      <c r="H99" s="3" t="s">
        <v>102</v>
      </c>
      <c r="I99" s="44"/>
      <c r="J99" s="3"/>
      <c r="K99" s="4"/>
      <c r="L99" s="5"/>
      <c r="M99" s="5"/>
      <c r="N99" s="5"/>
      <c r="O99" s="5"/>
      <c r="P99" s="1"/>
      <c r="Q99" s="1"/>
    </row>
    <row r="100" spans="1:17" x14ac:dyDescent="0.25">
      <c r="A100" s="1"/>
      <c r="B100" s="1"/>
      <c r="C100" s="2" t="s">
        <v>20</v>
      </c>
      <c r="D100" s="1" t="s">
        <v>21</v>
      </c>
      <c r="E100" s="3"/>
      <c r="F100" s="37" t="s">
        <v>80</v>
      </c>
      <c r="G100" s="44">
        <v>45972</v>
      </c>
      <c r="H100" s="3" t="s">
        <v>27</v>
      </c>
      <c r="I100" s="44"/>
      <c r="J100" s="3"/>
      <c r="K100" s="4"/>
      <c r="L100" s="5"/>
      <c r="M100" s="5"/>
      <c r="N100" s="5"/>
      <c r="O100" s="5"/>
      <c r="P100" s="1"/>
      <c r="Q100" s="1"/>
    </row>
    <row r="101" spans="1:17" x14ac:dyDescent="0.25">
      <c r="A101" s="1"/>
      <c r="B101" s="1"/>
      <c r="C101" s="2" t="s">
        <v>20</v>
      </c>
      <c r="D101" s="1" t="s">
        <v>21</v>
      </c>
      <c r="E101" s="3" t="s">
        <v>119</v>
      </c>
      <c r="F101" s="37" t="s">
        <v>81</v>
      </c>
      <c r="G101" s="44">
        <v>45972</v>
      </c>
      <c r="H101" s="3" t="s">
        <v>27</v>
      </c>
      <c r="I101" s="44">
        <v>46066</v>
      </c>
      <c r="J101" s="3"/>
      <c r="K101" s="4"/>
      <c r="L101" s="45">
        <v>25.382000000000001</v>
      </c>
      <c r="M101" s="5"/>
      <c r="N101" s="5"/>
      <c r="O101" s="5" t="s">
        <v>339</v>
      </c>
      <c r="P101" s="1"/>
      <c r="Q101" s="1"/>
    </row>
    <row r="102" spans="1:17" x14ac:dyDescent="0.25">
      <c r="A102" s="1"/>
      <c r="B102" s="1"/>
      <c r="C102" s="2" t="s">
        <v>20</v>
      </c>
      <c r="D102" s="1" t="s">
        <v>21</v>
      </c>
      <c r="E102" s="3"/>
      <c r="F102" s="37" t="s">
        <v>82</v>
      </c>
      <c r="G102" s="44">
        <v>45972</v>
      </c>
      <c r="H102" s="3" t="s">
        <v>27</v>
      </c>
      <c r="I102" s="44">
        <v>46126</v>
      </c>
      <c r="J102" s="3"/>
      <c r="K102" s="4"/>
      <c r="L102" s="5"/>
      <c r="M102" s="5"/>
      <c r="N102" s="5"/>
      <c r="O102" s="5" t="s">
        <v>338</v>
      </c>
      <c r="P102" s="1"/>
      <c r="Q102" s="1"/>
    </row>
    <row r="103" spans="1:17" x14ac:dyDescent="0.25">
      <c r="A103" s="1"/>
      <c r="B103" s="1"/>
      <c r="C103" s="2" t="s">
        <v>20</v>
      </c>
      <c r="D103" s="1" t="s">
        <v>21</v>
      </c>
      <c r="E103" s="3" t="s">
        <v>333</v>
      </c>
      <c r="F103" s="37" t="s">
        <v>83</v>
      </c>
      <c r="G103" s="44">
        <v>45972</v>
      </c>
      <c r="H103" s="3" t="s">
        <v>27</v>
      </c>
      <c r="I103" s="44">
        <v>46130</v>
      </c>
      <c r="J103" s="3"/>
      <c r="K103" s="4"/>
      <c r="L103" s="5">
        <v>30.927</v>
      </c>
      <c r="M103" s="5"/>
      <c r="N103" s="5"/>
      <c r="O103" s="5"/>
      <c r="P103" s="1"/>
      <c r="Q103" s="1"/>
    </row>
    <row r="104" spans="1:17" x14ac:dyDescent="0.25">
      <c r="A104" s="1"/>
      <c r="B104" s="1"/>
      <c r="C104" s="2" t="s">
        <v>20</v>
      </c>
      <c r="D104" s="1" t="s">
        <v>21</v>
      </c>
      <c r="E104" s="3"/>
      <c r="F104" s="37" t="s">
        <v>84</v>
      </c>
      <c r="G104" s="44">
        <v>45972</v>
      </c>
      <c r="H104" s="3" t="s">
        <v>102</v>
      </c>
      <c r="I104" s="44"/>
      <c r="J104" s="3"/>
      <c r="K104" s="4"/>
      <c r="L104" s="5"/>
      <c r="M104" s="5"/>
      <c r="N104" s="5"/>
      <c r="O104" s="5"/>
      <c r="P104" s="1"/>
      <c r="Q104" s="1"/>
    </row>
    <row r="105" spans="1:17" x14ac:dyDescent="0.25">
      <c r="A105" s="1"/>
      <c r="B105" s="1"/>
      <c r="C105" s="2" t="s">
        <v>20</v>
      </c>
      <c r="D105" s="1" t="s">
        <v>21</v>
      </c>
      <c r="E105" s="3"/>
      <c r="F105" s="37" t="s">
        <v>85</v>
      </c>
      <c r="G105" s="44">
        <v>45972</v>
      </c>
      <c r="H105" s="3" t="s">
        <v>27</v>
      </c>
      <c r="I105" s="44">
        <v>46135</v>
      </c>
      <c r="J105" s="3"/>
      <c r="K105" s="4"/>
      <c r="L105" s="5">
        <v>24.655999999999999</v>
      </c>
      <c r="M105" s="5"/>
      <c r="N105" s="5"/>
      <c r="O105" s="5" t="s">
        <v>339</v>
      </c>
      <c r="P105" s="1"/>
      <c r="Q105" s="1"/>
    </row>
    <row r="106" spans="1:17" x14ac:dyDescent="0.25">
      <c r="A106" s="1"/>
      <c r="B106" s="1"/>
      <c r="C106" s="2" t="s">
        <v>20</v>
      </c>
      <c r="D106" s="1" t="s">
        <v>21</v>
      </c>
      <c r="E106" s="3"/>
      <c r="F106" s="37" t="s">
        <v>86</v>
      </c>
      <c r="G106" s="44">
        <v>45972</v>
      </c>
      <c r="H106" s="3" t="s">
        <v>102</v>
      </c>
      <c r="I106" s="44"/>
      <c r="J106" s="3"/>
      <c r="K106" s="4"/>
      <c r="L106" s="5"/>
      <c r="M106" s="5"/>
      <c r="N106" s="5"/>
      <c r="O106" s="5"/>
      <c r="P106" s="1"/>
      <c r="Q106" s="1"/>
    </row>
    <row r="107" spans="1:17" x14ac:dyDescent="0.25">
      <c r="A107" s="1"/>
      <c r="B107" s="1"/>
      <c r="C107" s="2" t="s">
        <v>20</v>
      </c>
      <c r="D107" s="1" t="s">
        <v>21</v>
      </c>
      <c r="E107" s="3"/>
      <c r="F107" s="37" t="s">
        <v>87</v>
      </c>
      <c r="G107" s="44">
        <v>45972</v>
      </c>
      <c r="H107" s="3" t="s">
        <v>27</v>
      </c>
      <c r="I107" s="44">
        <v>46137</v>
      </c>
      <c r="J107" s="3"/>
      <c r="K107" s="4"/>
      <c r="L107" s="5">
        <v>22.571999999999999</v>
      </c>
      <c r="M107" s="5"/>
      <c r="N107" s="5"/>
      <c r="O107" s="5" t="s">
        <v>361</v>
      </c>
      <c r="P107" s="1"/>
      <c r="Q107" s="1"/>
    </row>
    <row r="108" spans="1:17" x14ac:dyDescent="0.25">
      <c r="A108" s="1"/>
      <c r="B108" s="1"/>
      <c r="C108" s="2" t="s">
        <v>20</v>
      </c>
      <c r="D108" s="1" t="s">
        <v>21</v>
      </c>
      <c r="E108" s="3"/>
      <c r="F108" s="37" t="s">
        <v>88</v>
      </c>
      <c r="G108" s="44">
        <v>45972</v>
      </c>
      <c r="H108" s="3" t="s">
        <v>102</v>
      </c>
      <c r="I108" s="44"/>
      <c r="J108" s="3"/>
      <c r="K108" s="4"/>
      <c r="L108" s="5"/>
      <c r="M108" s="5"/>
      <c r="N108" s="5"/>
      <c r="O108" s="5"/>
      <c r="P108" s="1"/>
      <c r="Q108" s="1"/>
    </row>
    <row r="109" spans="1:17" x14ac:dyDescent="0.25">
      <c r="A109" s="1"/>
      <c r="B109" s="1"/>
      <c r="C109" s="2" t="s">
        <v>20</v>
      </c>
      <c r="D109" s="1" t="s">
        <v>21</v>
      </c>
      <c r="E109" s="3"/>
      <c r="F109" s="37" t="s">
        <v>89</v>
      </c>
      <c r="G109" s="44">
        <v>45972</v>
      </c>
      <c r="H109" s="3" t="s">
        <v>27</v>
      </c>
      <c r="I109" s="44">
        <v>46140</v>
      </c>
      <c r="J109" s="3"/>
      <c r="K109" s="4"/>
      <c r="L109" s="5">
        <v>22.606999999999999</v>
      </c>
      <c r="M109" s="5"/>
      <c r="N109" s="5"/>
      <c r="O109" s="5" t="s">
        <v>361</v>
      </c>
      <c r="P109" s="1"/>
      <c r="Q109" s="1"/>
    </row>
    <row r="110" spans="1:17" x14ac:dyDescent="0.25">
      <c r="A110" s="1"/>
      <c r="B110" s="1"/>
      <c r="C110" s="2" t="s">
        <v>20</v>
      </c>
      <c r="D110" s="1" t="s">
        <v>21</v>
      </c>
      <c r="E110" s="3"/>
      <c r="F110" s="37" t="s">
        <v>90</v>
      </c>
      <c r="G110" s="44">
        <v>45972</v>
      </c>
      <c r="H110" s="3" t="s">
        <v>102</v>
      </c>
      <c r="I110" s="44"/>
      <c r="J110" s="3"/>
      <c r="K110" s="4"/>
      <c r="L110" s="5"/>
      <c r="M110" s="5"/>
      <c r="N110" s="5"/>
      <c r="O110" s="5"/>
      <c r="P110" s="1"/>
      <c r="Q110" s="1"/>
    </row>
    <row r="111" spans="1:17" x14ac:dyDescent="0.25">
      <c r="A111" s="1"/>
      <c r="B111" s="1"/>
      <c r="C111" s="2" t="s">
        <v>20</v>
      </c>
      <c r="D111" s="1" t="s">
        <v>21</v>
      </c>
      <c r="E111" s="3"/>
      <c r="F111" s="37" t="s">
        <v>91</v>
      </c>
      <c r="G111" s="44">
        <v>45972</v>
      </c>
      <c r="H111" s="3" t="s">
        <v>27</v>
      </c>
      <c r="I111" s="44">
        <v>46140</v>
      </c>
      <c r="J111" s="3"/>
      <c r="K111" s="4"/>
      <c r="L111" s="5">
        <v>22.893000000000001</v>
      </c>
      <c r="M111" s="5"/>
      <c r="N111" s="5"/>
      <c r="O111" s="5" t="s">
        <v>361</v>
      </c>
      <c r="P111" s="1"/>
      <c r="Q111" s="1"/>
    </row>
    <row r="112" spans="1:17" x14ac:dyDescent="0.25">
      <c r="A112" s="1"/>
      <c r="B112" s="1"/>
      <c r="C112" s="2" t="s">
        <v>20</v>
      </c>
      <c r="D112" s="1" t="s">
        <v>21</v>
      </c>
      <c r="E112" s="3"/>
      <c r="F112" s="37" t="s">
        <v>92</v>
      </c>
      <c r="G112" s="44">
        <v>45972</v>
      </c>
      <c r="H112" s="3" t="s">
        <v>102</v>
      </c>
      <c r="I112" s="44"/>
      <c r="J112" s="3"/>
      <c r="K112" s="4"/>
      <c r="L112" s="5"/>
      <c r="M112" s="5"/>
      <c r="N112" s="5"/>
      <c r="O112" s="5"/>
      <c r="P112" s="1"/>
      <c r="Q112" s="1"/>
    </row>
    <row r="113" spans="1:17" x14ac:dyDescent="0.25">
      <c r="A113" s="1"/>
      <c r="B113" s="1"/>
      <c r="C113" s="2" t="s">
        <v>20</v>
      </c>
      <c r="D113" s="1" t="s">
        <v>21</v>
      </c>
      <c r="E113" s="3"/>
      <c r="F113" s="37" t="s">
        <v>93</v>
      </c>
      <c r="G113" s="44">
        <v>45972</v>
      </c>
      <c r="H113" s="3" t="s">
        <v>27</v>
      </c>
      <c r="I113" s="44">
        <v>46158</v>
      </c>
      <c r="J113" s="3"/>
      <c r="K113" s="4"/>
      <c r="L113" s="5">
        <v>28.225000000000001</v>
      </c>
      <c r="M113" s="5"/>
      <c r="N113" s="5"/>
      <c r="O113" s="5" t="s">
        <v>361</v>
      </c>
      <c r="P113" s="1"/>
      <c r="Q113" s="1"/>
    </row>
    <row r="114" spans="1:17" x14ac:dyDescent="0.25">
      <c r="A114" s="1"/>
      <c r="B114" s="1"/>
      <c r="C114" s="2" t="s">
        <v>20</v>
      </c>
      <c r="D114" s="1" t="s">
        <v>21</v>
      </c>
      <c r="E114" s="3" t="s">
        <v>120</v>
      </c>
      <c r="F114" s="37" t="s">
        <v>94</v>
      </c>
      <c r="G114" s="44">
        <v>45972</v>
      </c>
      <c r="H114" s="3" t="s">
        <v>27</v>
      </c>
      <c r="I114" s="44">
        <v>45992</v>
      </c>
      <c r="J114" s="3"/>
      <c r="K114" s="4"/>
      <c r="L114" s="46">
        <v>1.2569999999999999</v>
      </c>
      <c r="M114" s="5"/>
      <c r="N114" s="5"/>
      <c r="O114" s="5"/>
      <c r="P114" s="1"/>
      <c r="Q114" s="1"/>
    </row>
    <row r="115" spans="1:17" x14ac:dyDescent="0.25">
      <c r="A115" s="1"/>
      <c r="B115" s="1"/>
      <c r="C115" s="2" t="s">
        <v>20</v>
      </c>
      <c r="D115" s="1" t="s">
        <v>21</v>
      </c>
      <c r="E115" s="3" t="s">
        <v>121</v>
      </c>
      <c r="F115" s="37" t="s">
        <v>95</v>
      </c>
      <c r="G115" s="44">
        <v>45972</v>
      </c>
      <c r="H115" s="3" t="s">
        <v>27</v>
      </c>
      <c r="I115" s="44">
        <v>46006</v>
      </c>
      <c r="J115" s="3"/>
      <c r="K115" s="4"/>
      <c r="L115" s="1">
        <v>3.2320000000000002</v>
      </c>
      <c r="M115" s="5"/>
      <c r="N115" s="5"/>
      <c r="O115" s="5"/>
      <c r="P115" s="1"/>
      <c r="Q115" s="1"/>
    </row>
    <row r="116" spans="1:17" x14ac:dyDescent="0.25">
      <c r="A116" s="1"/>
      <c r="B116" s="1"/>
      <c r="C116" s="2" t="s">
        <v>20</v>
      </c>
      <c r="D116" s="1" t="s">
        <v>21</v>
      </c>
      <c r="E116" s="3" t="s">
        <v>122</v>
      </c>
      <c r="F116" s="37" t="s">
        <v>96</v>
      </c>
      <c r="G116" s="44">
        <v>45972</v>
      </c>
      <c r="H116" s="3" t="s">
        <v>27</v>
      </c>
      <c r="I116" s="44">
        <v>46024</v>
      </c>
      <c r="J116" s="3"/>
      <c r="K116" s="4"/>
      <c r="L116" s="1">
        <v>3.4180000000000001</v>
      </c>
      <c r="M116" s="5"/>
      <c r="N116" s="5"/>
      <c r="O116" s="5"/>
      <c r="P116" s="1"/>
      <c r="Q116" s="1"/>
    </row>
    <row r="117" spans="1:17" x14ac:dyDescent="0.25">
      <c r="A117" s="1"/>
      <c r="B117" s="1"/>
      <c r="C117" s="2" t="s">
        <v>20</v>
      </c>
      <c r="D117" s="1" t="s">
        <v>21</v>
      </c>
      <c r="E117" s="3" t="s">
        <v>123</v>
      </c>
      <c r="F117" s="37" t="s">
        <v>97</v>
      </c>
      <c r="G117" s="44">
        <v>45972</v>
      </c>
      <c r="H117" s="3" t="s">
        <v>27</v>
      </c>
      <c r="I117" s="44">
        <v>46006</v>
      </c>
      <c r="J117" s="3"/>
      <c r="K117" s="4"/>
      <c r="L117" s="1">
        <v>2.0880000000000001</v>
      </c>
      <c r="M117" s="5"/>
      <c r="N117" s="5"/>
      <c r="O117" s="5"/>
      <c r="P117" s="1"/>
      <c r="Q117" s="1"/>
    </row>
    <row r="118" spans="1:17" x14ac:dyDescent="0.25">
      <c r="A118" s="1"/>
      <c r="B118" s="1"/>
      <c r="C118" s="2" t="s">
        <v>20</v>
      </c>
      <c r="D118" s="1" t="s">
        <v>21</v>
      </c>
      <c r="E118" s="3" t="s">
        <v>124</v>
      </c>
      <c r="F118" s="37" t="s">
        <v>98</v>
      </c>
      <c r="G118" s="44">
        <v>45972</v>
      </c>
      <c r="H118" s="3" t="s">
        <v>27</v>
      </c>
      <c r="I118" s="44">
        <v>46018</v>
      </c>
      <c r="J118" s="3"/>
      <c r="K118" s="4"/>
      <c r="L118" s="1">
        <v>2.5670000000000002</v>
      </c>
      <c r="M118" s="5"/>
      <c r="N118" s="5"/>
      <c r="O118" s="5"/>
      <c r="P118" s="1"/>
      <c r="Q118" s="1"/>
    </row>
    <row r="119" spans="1:17" x14ac:dyDescent="0.25">
      <c r="A119" s="1"/>
      <c r="B119" s="1"/>
      <c r="C119" s="2" t="s">
        <v>20</v>
      </c>
      <c r="D119" s="1" t="s">
        <v>21</v>
      </c>
      <c r="E119" s="3" t="s">
        <v>125</v>
      </c>
      <c r="F119" s="37" t="s">
        <v>99</v>
      </c>
      <c r="G119" s="44">
        <v>45972</v>
      </c>
      <c r="H119" s="3" t="s">
        <v>27</v>
      </c>
      <c r="I119" s="44">
        <v>46021</v>
      </c>
      <c r="J119" s="3"/>
      <c r="K119" s="4"/>
      <c r="L119" s="1">
        <v>2.5449999999999999</v>
      </c>
      <c r="M119" s="5"/>
      <c r="N119" s="5"/>
      <c r="O119" s="5"/>
      <c r="P119" s="1"/>
      <c r="Q119" s="1"/>
    </row>
    <row r="120" spans="1:17" x14ac:dyDescent="0.25">
      <c r="A120" s="1"/>
      <c r="B120" s="1"/>
      <c r="C120" s="2" t="s">
        <v>20</v>
      </c>
      <c r="D120" s="1" t="s">
        <v>21</v>
      </c>
      <c r="E120" s="3" t="s">
        <v>126</v>
      </c>
      <c r="F120" s="37" t="s">
        <v>100</v>
      </c>
      <c r="G120" s="44">
        <v>45972</v>
      </c>
      <c r="H120" s="3" t="s">
        <v>27</v>
      </c>
      <c r="I120" s="44">
        <v>46024</v>
      </c>
      <c r="J120" s="3"/>
      <c r="K120" s="4"/>
      <c r="L120" s="1">
        <v>1.76</v>
      </c>
      <c r="M120" s="5"/>
      <c r="N120" s="5"/>
      <c r="O120" s="5"/>
      <c r="P120" s="1"/>
      <c r="Q120" s="1"/>
    </row>
    <row r="121" spans="1:17" x14ac:dyDescent="0.25">
      <c r="A121" s="1"/>
      <c r="B121" s="1"/>
      <c r="C121" s="2" t="s">
        <v>20</v>
      </c>
      <c r="D121" s="1" t="s">
        <v>21</v>
      </c>
      <c r="E121" s="3" t="s">
        <v>127</v>
      </c>
      <c r="F121" s="37" t="s">
        <v>101</v>
      </c>
      <c r="G121" s="44">
        <v>45972</v>
      </c>
      <c r="H121" s="3" t="s">
        <v>27</v>
      </c>
      <c r="I121" s="44">
        <v>46024</v>
      </c>
      <c r="J121" s="3"/>
      <c r="K121" s="4"/>
      <c r="L121" s="1">
        <v>1.1870000000000001</v>
      </c>
      <c r="M121" s="5"/>
      <c r="N121" s="5"/>
      <c r="O121" s="5"/>
      <c r="P121" s="1"/>
      <c r="Q121" s="1"/>
    </row>
    <row r="122" spans="1:17" x14ac:dyDescent="0.25">
      <c r="A122" s="7"/>
      <c r="B122" s="7"/>
      <c r="C122" s="6"/>
      <c r="D122" s="7"/>
      <c r="E122" s="38"/>
      <c r="F122" s="38"/>
      <c r="G122" s="8"/>
      <c r="H122" s="39"/>
      <c r="I122" s="8"/>
      <c r="J122" s="9"/>
      <c r="K122" s="10"/>
      <c r="L122" s="7"/>
      <c r="M122" s="7"/>
      <c r="N122" s="7"/>
      <c r="O122" s="7"/>
      <c r="P122" s="7"/>
      <c r="Q122" s="7"/>
    </row>
    <row r="123" spans="1:17" x14ac:dyDescent="0.25">
      <c r="A123" s="1">
        <v>3</v>
      </c>
      <c r="B123" s="1"/>
      <c r="C123" s="2" t="s">
        <v>25</v>
      </c>
      <c r="D123" s="1" t="s">
        <v>21</v>
      </c>
      <c r="E123" s="3" t="s">
        <v>250</v>
      </c>
      <c r="F123" s="37" t="s">
        <v>251</v>
      </c>
      <c r="G123" s="44">
        <v>46009</v>
      </c>
      <c r="H123" s="3" t="s">
        <v>27</v>
      </c>
      <c r="I123" s="44">
        <v>46020</v>
      </c>
      <c r="J123" s="3"/>
      <c r="K123" s="1"/>
      <c r="L123" s="46">
        <v>50.079000000000001</v>
      </c>
      <c r="M123" s="1"/>
      <c r="N123" s="1"/>
      <c r="O123" s="5" t="s">
        <v>335</v>
      </c>
      <c r="P123" s="1"/>
      <c r="Q123" s="1"/>
    </row>
    <row r="124" spans="1:17" x14ac:dyDescent="0.25">
      <c r="A124" s="1"/>
      <c r="B124" s="1"/>
      <c r="C124" s="2" t="s">
        <v>25</v>
      </c>
      <c r="D124" s="1" t="s">
        <v>21</v>
      </c>
      <c r="E124" s="3" t="s">
        <v>252</v>
      </c>
      <c r="F124" s="37" t="s">
        <v>253</v>
      </c>
      <c r="G124" s="44">
        <v>46009</v>
      </c>
      <c r="H124" s="3" t="s">
        <v>27</v>
      </c>
      <c r="I124" s="44">
        <v>46024</v>
      </c>
      <c r="J124" s="3"/>
      <c r="K124" s="1"/>
      <c r="L124" s="46">
        <v>23.387</v>
      </c>
      <c r="M124" s="1"/>
      <c r="N124" s="1"/>
      <c r="O124" s="5" t="s">
        <v>335</v>
      </c>
      <c r="P124" s="1"/>
      <c r="Q124" s="1"/>
    </row>
    <row r="125" spans="1:17" x14ac:dyDescent="0.25">
      <c r="A125" s="1"/>
      <c r="B125" s="1"/>
      <c r="C125" s="2" t="s">
        <v>25</v>
      </c>
      <c r="D125" s="1" t="s">
        <v>21</v>
      </c>
      <c r="E125" s="3" t="s">
        <v>170</v>
      </c>
      <c r="F125" s="37" t="s">
        <v>254</v>
      </c>
      <c r="G125" s="44">
        <v>46009</v>
      </c>
      <c r="H125" s="3" t="s">
        <v>27</v>
      </c>
      <c r="I125" s="44">
        <v>45666</v>
      </c>
      <c r="J125" s="3"/>
      <c r="K125" s="1"/>
      <c r="L125" s="46">
        <v>8.4930000000000003</v>
      </c>
      <c r="M125" s="1"/>
      <c r="N125" s="1"/>
      <c r="O125" s="5" t="s">
        <v>334</v>
      </c>
      <c r="P125" s="1"/>
      <c r="Q125" s="1"/>
    </row>
    <row r="126" spans="1:17" x14ac:dyDescent="0.25">
      <c r="A126" s="1"/>
      <c r="B126" s="1"/>
      <c r="C126" s="2" t="s">
        <v>25</v>
      </c>
      <c r="D126" s="1" t="s">
        <v>21</v>
      </c>
      <c r="E126" s="3" t="s">
        <v>172</v>
      </c>
      <c r="F126" s="37" t="s">
        <v>255</v>
      </c>
      <c r="G126" s="44">
        <v>46009</v>
      </c>
      <c r="H126" s="3" t="s">
        <v>27</v>
      </c>
      <c r="I126" s="44">
        <v>45667</v>
      </c>
      <c r="J126" s="3"/>
      <c r="K126" s="1"/>
      <c r="L126" s="46">
        <v>13.423</v>
      </c>
      <c r="M126" s="1"/>
      <c r="N126" s="1"/>
      <c r="O126" s="5" t="s">
        <v>335</v>
      </c>
      <c r="P126" s="1"/>
      <c r="Q126" s="1"/>
    </row>
    <row r="127" spans="1:17" x14ac:dyDescent="0.25">
      <c r="A127" s="1"/>
      <c r="B127" s="1"/>
      <c r="C127" s="2" t="s">
        <v>25</v>
      </c>
      <c r="D127" s="1" t="s">
        <v>21</v>
      </c>
      <c r="E127" s="3" t="s">
        <v>256</v>
      </c>
      <c r="F127" s="37" t="s">
        <v>257</v>
      </c>
      <c r="G127" s="44">
        <v>46009</v>
      </c>
      <c r="H127" s="3" t="s">
        <v>27</v>
      </c>
      <c r="I127" s="44">
        <v>45667</v>
      </c>
      <c r="J127" s="3"/>
      <c r="K127" s="1"/>
      <c r="L127" s="46">
        <v>2.3460000000000001</v>
      </c>
      <c r="M127" s="1"/>
      <c r="N127" s="1"/>
      <c r="O127" s="5" t="s">
        <v>335</v>
      </c>
      <c r="P127" s="1"/>
      <c r="Q127" s="1"/>
    </row>
    <row r="128" spans="1:17" x14ac:dyDescent="0.25">
      <c r="A128" s="1"/>
      <c r="B128" s="1"/>
      <c r="C128" s="2" t="s">
        <v>25</v>
      </c>
      <c r="D128" s="1" t="s">
        <v>21</v>
      </c>
      <c r="E128" s="3" t="s">
        <v>258</v>
      </c>
      <c r="F128" s="37" t="s">
        <v>259</v>
      </c>
      <c r="G128" s="44">
        <v>46009</v>
      </c>
      <c r="H128" s="3" t="s">
        <v>27</v>
      </c>
      <c r="I128" s="44">
        <v>46084</v>
      </c>
      <c r="J128" s="3"/>
      <c r="K128" s="1"/>
      <c r="L128" s="46">
        <v>6.5949999999999998</v>
      </c>
      <c r="M128" s="1"/>
      <c r="N128" s="1"/>
      <c r="O128" s="5" t="s">
        <v>335</v>
      </c>
      <c r="P128" s="1"/>
      <c r="Q128" s="1"/>
    </row>
    <row r="129" spans="1:17" x14ac:dyDescent="0.25">
      <c r="A129" s="1"/>
      <c r="B129" s="1"/>
      <c r="C129" s="2" t="s">
        <v>25</v>
      </c>
      <c r="D129" s="1" t="s">
        <v>21</v>
      </c>
      <c r="E129" s="3" t="s">
        <v>140</v>
      </c>
      <c r="F129" s="37" t="s">
        <v>260</v>
      </c>
      <c r="G129" s="44">
        <v>46009</v>
      </c>
      <c r="H129" s="3" t="s">
        <v>27</v>
      </c>
      <c r="I129" s="44">
        <v>46091</v>
      </c>
      <c r="J129" s="3"/>
      <c r="K129" s="1"/>
      <c r="L129" s="46">
        <v>45.947000000000003</v>
      </c>
      <c r="M129" s="1"/>
      <c r="N129" s="1"/>
      <c r="O129" s="5" t="s">
        <v>335</v>
      </c>
      <c r="P129" s="1"/>
      <c r="Q129" s="1"/>
    </row>
    <row r="130" spans="1:17" x14ac:dyDescent="0.25">
      <c r="A130" s="1"/>
      <c r="B130" s="1"/>
      <c r="C130" s="2" t="s">
        <v>25</v>
      </c>
      <c r="D130" s="1" t="s">
        <v>21</v>
      </c>
      <c r="E130" s="3" t="s">
        <v>261</v>
      </c>
      <c r="F130" s="37" t="s">
        <v>262</v>
      </c>
      <c r="G130" s="44">
        <v>46009</v>
      </c>
      <c r="H130" s="3" t="s">
        <v>27</v>
      </c>
      <c r="I130" s="44">
        <v>46098</v>
      </c>
      <c r="J130" s="3"/>
      <c r="K130" s="1"/>
      <c r="L130" s="46">
        <v>26.878</v>
      </c>
      <c r="M130" s="1"/>
      <c r="N130" s="1"/>
      <c r="O130" s="5" t="s">
        <v>335</v>
      </c>
      <c r="P130" s="1"/>
      <c r="Q130" s="1"/>
    </row>
    <row r="131" spans="1:17" x14ac:dyDescent="0.25">
      <c r="A131" s="1"/>
      <c r="B131" s="1"/>
      <c r="C131" s="2" t="s">
        <v>25</v>
      </c>
      <c r="D131" s="1" t="s">
        <v>21</v>
      </c>
      <c r="E131" s="3" t="s">
        <v>263</v>
      </c>
      <c r="F131" s="37" t="s">
        <v>264</v>
      </c>
      <c r="G131" s="44">
        <v>46009</v>
      </c>
      <c r="H131" s="3" t="s">
        <v>27</v>
      </c>
      <c r="I131" s="44">
        <v>46098</v>
      </c>
      <c r="J131" s="3"/>
      <c r="K131" s="1"/>
      <c r="L131" s="46">
        <v>22.937000000000001</v>
      </c>
      <c r="M131" s="1"/>
      <c r="N131" s="1"/>
      <c r="O131" s="5" t="s">
        <v>337</v>
      </c>
      <c r="P131" s="1"/>
      <c r="Q131" s="1"/>
    </row>
    <row r="132" spans="1:17" x14ac:dyDescent="0.25">
      <c r="A132" s="1"/>
      <c r="B132" s="1"/>
      <c r="C132" s="2" t="s">
        <v>25</v>
      </c>
      <c r="D132" s="1" t="s">
        <v>21</v>
      </c>
      <c r="E132" s="3" t="s">
        <v>265</v>
      </c>
      <c r="F132" s="37" t="s">
        <v>266</v>
      </c>
      <c r="G132" s="44">
        <v>46009</v>
      </c>
      <c r="H132" s="3" t="s">
        <v>27</v>
      </c>
      <c r="I132" s="44">
        <v>46101</v>
      </c>
      <c r="J132" s="3"/>
      <c r="K132" s="1"/>
      <c r="L132" s="46">
        <v>2.3860000000000001</v>
      </c>
      <c r="M132" s="1"/>
      <c r="N132" s="1"/>
      <c r="O132" s="5" t="s">
        <v>337</v>
      </c>
      <c r="P132" s="1"/>
      <c r="Q132" s="1"/>
    </row>
    <row r="133" spans="1:17" x14ac:dyDescent="0.25">
      <c r="A133" s="1"/>
      <c r="B133" s="1"/>
      <c r="C133" s="2" t="s">
        <v>25</v>
      </c>
      <c r="D133" s="1" t="s">
        <v>21</v>
      </c>
      <c r="E133" s="3" t="s">
        <v>267</v>
      </c>
      <c r="F133" s="37" t="s">
        <v>268</v>
      </c>
      <c r="G133" s="44">
        <v>46009</v>
      </c>
      <c r="H133" s="3" t="s">
        <v>27</v>
      </c>
      <c r="I133" s="44">
        <v>46102</v>
      </c>
      <c r="J133" s="3"/>
      <c r="K133" s="1"/>
      <c r="L133" s="46">
        <v>44.076000000000001</v>
      </c>
      <c r="M133" s="1"/>
      <c r="N133" s="1"/>
      <c r="O133" s="5" t="s">
        <v>335</v>
      </c>
      <c r="P133" s="1"/>
      <c r="Q133" s="1"/>
    </row>
    <row r="134" spans="1:17" x14ac:dyDescent="0.25">
      <c r="A134" s="1"/>
      <c r="B134" s="1"/>
      <c r="C134" s="2" t="s">
        <v>25</v>
      </c>
      <c r="D134" s="1" t="s">
        <v>21</v>
      </c>
      <c r="E134" s="3" t="s">
        <v>269</v>
      </c>
      <c r="F134" s="37" t="s">
        <v>270</v>
      </c>
      <c r="G134" s="44">
        <v>46009</v>
      </c>
      <c r="H134" s="3" t="s">
        <v>27</v>
      </c>
      <c r="I134" s="44">
        <v>46116</v>
      </c>
      <c r="J134" s="3"/>
      <c r="K134" s="1"/>
      <c r="L134" s="46">
        <v>100.479</v>
      </c>
      <c r="M134" s="1"/>
      <c r="N134" s="1"/>
      <c r="O134" s="5" t="s">
        <v>336</v>
      </c>
      <c r="P134" s="1"/>
      <c r="Q134" s="1"/>
    </row>
    <row r="135" spans="1:17" x14ac:dyDescent="0.25">
      <c r="A135" s="1"/>
      <c r="B135" s="1"/>
      <c r="C135" s="2" t="s">
        <v>25</v>
      </c>
      <c r="D135" s="1" t="s">
        <v>21</v>
      </c>
      <c r="E135" s="3" t="s">
        <v>271</v>
      </c>
      <c r="F135" s="37" t="s">
        <v>272</v>
      </c>
      <c r="G135" s="44">
        <v>46009</v>
      </c>
      <c r="H135" s="3" t="s">
        <v>27</v>
      </c>
      <c r="I135" s="44">
        <v>46136</v>
      </c>
      <c r="J135" s="3"/>
      <c r="K135" s="1"/>
      <c r="L135" s="46">
        <v>32.738</v>
      </c>
      <c r="M135" s="1"/>
      <c r="N135" s="1"/>
      <c r="O135" s="5" t="s">
        <v>335</v>
      </c>
      <c r="P135" s="1"/>
      <c r="Q135" s="1"/>
    </row>
    <row r="136" spans="1:17" x14ac:dyDescent="0.25">
      <c r="A136" s="1"/>
      <c r="B136" s="1"/>
      <c r="C136" s="2" t="s">
        <v>25</v>
      </c>
      <c r="D136" s="1" t="s">
        <v>21</v>
      </c>
      <c r="E136" s="3" t="s">
        <v>273</v>
      </c>
      <c r="F136" s="37" t="s">
        <v>274</v>
      </c>
      <c r="G136" s="44">
        <v>46009</v>
      </c>
      <c r="H136" s="3" t="s">
        <v>27</v>
      </c>
      <c r="I136" s="44">
        <v>46136</v>
      </c>
      <c r="J136" s="3"/>
      <c r="K136" s="1"/>
      <c r="L136" s="46">
        <v>32.258000000000003</v>
      </c>
      <c r="M136" s="1"/>
      <c r="N136" s="1"/>
      <c r="O136" s="5" t="s">
        <v>335</v>
      </c>
      <c r="P136" s="1"/>
      <c r="Q136" s="1"/>
    </row>
    <row r="137" spans="1:17" x14ac:dyDescent="0.25">
      <c r="A137" s="1"/>
      <c r="B137" s="1"/>
      <c r="C137" s="2" t="s">
        <v>25</v>
      </c>
      <c r="D137" s="1" t="s">
        <v>21</v>
      </c>
      <c r="E137" s="3" t="s">
        <v>275</v>
      </c>
      <c r="F137" s="37" t="s">
        <v>276</v>
      </c>
      <c r="G137" s="44">
        <v>46009</v>
      </c>
      <c r="H137" s="3" t="s">
        <v>27</v>
      </c>
      <c r="I137" s="44">
        <v>46136</v>
      </c>
      <c r="J137" s="3"/>
      <c r="K137" s="1"/>
      <c r="L137" s="46">
        <v>32.258000000000003</v>
      </c>
      <c r="M137" s="1"/>
      <c r="N137" s="1"/>
      <c r="O137" s="5" t="s">
        <v>335</v>
      </c>
      <c r="P137" s="1"/>
      <c r="Q137" s="1"/>
    </row>
    <row r="138" spans="1:17" x14ac:dyDescent="0.25">
      <c r="A138" s="1"/>
      <c r="B138" s="1"/>
      <c r="C138" s="2" t="s">
        <v>25</v>
      </c>
      <c r="D138" s="1" t="s">
        <v>21</v>
      </c>
      <c r="E138" s="3" t="s">
        <v>277</v>
      </c>
      <c r="F138" s="37" t="s">
        <v>278</v>
      </c>
      <c r="G138" s="44">
        <v>46009</v>
      </c>
      <c r="H138" s="3" t="s">
        <v>27</v>
      </c>
      <c r="I138" s="3">
        <v>46146</v>
      </c>
      <c r="J138" s="3"/>
      <c r="K138" s="1"/>
      <c r="L138" s="46">
        <v>37.186</v>
      </c>
      <c r="M138" s="1"/>
      <c r="N138" s="1"/>
      <c r="O138" s="5" t="s">
        <v>335</v>
      </c>
      <c r="P138" s="1"/>
      <c r="Q138" s="1"/>
    </row>
    <row r="139" spans="1:17" x14ac:dyDescent="0.25">
      <c r="A139" s="1"/>
      <c r="B139" s="1"/>
      <c r="C139" s="2" t="s">
        <v>25</v>
      </c>
      <c r="D139" s="1" t="s">
        <v>21</v>
      </c>
      <c r="E139" s="3" t="s">
        <v>279</v>
      </c>
      <c r="F139" s="37" t="s">
        <v>280</v>
      </c>
      <c r="G139" s="44">
        <v>46009</v>
      </c>
      <c r="H139" s="3" t="s">
        <v>27</v>
      </c>
      <c r="I139" s="3">
        <v>46146</v>
      </c>
      <c r="J139" s="3"/>
      <c r="K139" s="1"/>
      <c r="L139" s="46">
        <v>37.186</v>
      </c>
      <c r="M139" s="1"/>
      <c r="N139" s="1"/>
      <c r="O139" s="5"/>
      <c r="P139" s="1"/>
      <c r="Q139" s="1"/>
    </row>
    <row r="140" spans="1:17" x14ac:dyDescent="0.25">
      <c r="A140" s="1"/>
      <c r="B140" s="1"/>
      <c r="C140" s="2" t="s">
        <v>25</v>
      </c>
      <c r="D140" s="1" t="s">
        <v>21</v>
      </c>
      <c r="E140" s="3" t="s">
        <v>198</v>
      </c>
      <c r="F140" s="37" t="s">
        <v>281</v>
      </c>
      <c r="G140" s="44">
        <v>46009</v>
      </c>
      <c r="H140" s="3" t="s">
        <v>27</v>
      </c>
      <c r="I140" s="3">
        <v>46170</v>
      </c>
      <c r="J140" s="3"/>
      <c r="K140" s="1"/>
      <c r="L140" s="46">
        <v>38.225999999999999</v>
      </c>
      <c r="M140" s="1"/>
      <c r="N140" s="1"/>
      <c r="O140" s="5"/>
      <c r="P140" s="1"/>
      <c r="Q140" s="1"/>
    </row>
    <row r="141" spans="1:17" x14ac:dyDescent="0.25">
      <c r="A141" s="1"/>
      <c r="B141" s="1"/>
      <c r="C141" s="2" t="s">
        <v>25</v>
      </c>
      <c r="D141" s="1" t="s">
        <v>21</v>
      </c>
      <c r="E141" s="3" t="s">
        <v>200</v>
      </c>
      <c r="F141" s="37" t="s">
        <v>282</v>
      </c>
      <c r="G141" s="44">
        <v>46009</v>
      </c>
      <c r="H141" s="3" t="s">
        <v>22</v>
      </c>
      <c r="I141" s="3">
        <v>46199</v>
      </c>
      <c r="J141" s="3"/>
      <c r="K141" s="1"/>
      <c r="L141" s="46"/>
      <c r="M141" s="1"/>
      <c r="N141" s="1"/>
      <c r="O141" s="5"/>
      <c r="P141" s="1"/>
      <c r="Q141" s="1"/>
    </row>
    <row r="142" spans="1:17" x14ac:dyDescent="0.25">
      <c r="A142" s="1"/>
      <c r="B142" s="1"/>
      <c r="C142" s="2" t="s">
        <v>25</v>
      </c>
      <c r="D142" s="1" t="s">
        <v>21</v>
      </c>
      <c r="E142" s="3" t="s">
        <v>202</v>
      </c>
      <c r="F142" s="37" t="s">
        <v>283</v>
      </c>
      <c r="G142" s="44">
        <v>46009</v>
      </c>
      <c r="H142" s="3" t="s">
        <v>102</v>
      </c>
      <c r="I142" s="3"/>
      <c r="J142" s="3">
        <v>46209</v>
      </c>
      <c r="K142" s="1"/>
      <c r="L142" s="46"/>
      <c r="M142" s="1"/>
      <c r="N142" s="1"/>
      <c r="O142" s="5"/>
      <c r="P142" s="1"/>
      <c r="Q142" s="1"/>
    </row>
    <row r="143" spans="1:17" x14ac:dyDescent="0.25">
      <c r="A143" s="1"/>
      <c r="B143" s="1"/>
      <c r="C143" s="2" t="s">
        <v>25</v>
      </c>
      <c r="D143" s="1" t="s">
        <v>21</v>
      </c>
      <c r="E143" s="3" t="s">
        <v>202</v>
      </c>
      <c r="F143" s="37" t="s">
        <v>694</v>
      </c>
      <c r="G143" s="44">
        <v>46009</v>
      </c>
      <c r="H143" s="3" t="s">
        <v>102</v>
      </c>
      <c r="I143" s="3"/>
      <c r="J143" s="3">
        <v>46227</v>
      </c>
      <c r="K143" s="1"/>
      <c r="L143" s="46"/>
      <c r="M143" s="1"/>
      <c r="N143" s="1"/>
      <c r="O143" s="5"/>
      <c r="P143" s="1"/>
      <c r="Q143" s="1"/>
    </row>
    <row r="144" spans="1:17" x14ac:dyDescent="0.25">
      <c r="A144" s="1"/>
      <c r="B144" s="1"/>
      <c r="C144" s="2" t="s">
        <v>25</v>
      </c>
      <c r="D144" s="1" t="s">
        <v>21</v>
      </c>
      <c r="E144" s="3" t="s">
        <v>204</v>
      </c>
      <c r="F144" s="37" t="s">
        <v>487</v>
      </c>
      <c r="G144" s="44">
        <v>46009</v>
      </c>
      <c r="H144" s="3" t="s">
        <v>27</v>
      </c>
      <c r="I144" s="3">
        <v>46140</v>
      </c>
      <c r="J144" s="3"/>
      <c r="K144" s="1"/>
      <c r="L144" s="46">
        <v>13.962</v>
      </c>
      <c r="M144" s="1"/>
      <c r="N144" s="1"/>
      <c r="O144" s="5" t="s">
        <v>335</v>
      </c>
      <c r="P144" s="1"/>
      <c r="Q144" s="1"/>
    </row>
    <row r="145" spans="1:17" x14ac:dyDescent="0.25">
      <c r="A145" s="1"/>
      <c r="B145" s="1"/>
      <c r="C145" s="2" t="s">
        <v>25</v>
      </c>
      <c r="D145" s="1" t="s">
        <v>21</v>
      </c>
      <c r="E145" s="3" t="s">
        <v>204</v>
      </c>
      <c r="F145" s="37" t="s">
        <v>573</v>
      </c>
      <c r="G145" s="44">
        <v>46009</v>
      </c>
      <c r="H145" s="3" t="s">
        <v>27</v>
      </c>
      <c r="I145" s="3">
        <v>46148</v>
      </c>
      <c r="J145" s="3"/>
      <c r="K145" s="1"/>
      <c r="L145" s="46">
        <v>22.86</v>
      </c>
      <c r="M145" s="1"/>
      <c r="N145" s="1"/>
      <c r="O145" s="5" t="s">
        <v>335</v>
      </c>
      <c r="P145" s="1"/>
      <c r="Q145" s="1"/>
    </row>
    <row r="146" spans="1:17" x14ac:dyDescent="0.25">
      <c r="A146" s="1"/>
      <c r="B146" s="1"/>
      <c r="C146" s="2" t="s">
        <v>25</v>
      </c>
      <c r="D146" s="1" t="s">
        <v>21</v>
      </c>
      <c r="E146" s="3" t="s">
        <v>205</v>
      </c>
      <c r="F146" s="37" t="s">
        <v>285</v>
      </c>
      <c r="G146" s="44">
        <v>46009</v>
      </c>
      <c r="H146" s="3" t="s">
        <v>27</v>
      </c>
      <c r="I146" s="3"/>
      <c r="J146" s="3"/>
      <c r="K146" s="1"/>
      <c r="L146" s="46"/>
      <c r="M146" s="1"/>
      <c r="N146" s="1"/>
      <c r="O146" s="5" t="s">
        <v>338</v>
      </c>
      <c r="P146" s="1"/>
      <c r="Q146" s="1"/>
    </row>
    <row r="147" spans="1:17" x14ac:dyDescent="0.25">
      <c r="A147" s="1"/>
      <c r="B147" s="1"/>
      <c r="C147" s="2" t="s">
        <v>25</v>
      </c>
      <c r="D147" s="1" t="s">
        <v>21</v>
      </c>
      <c r="E147" s="3" t="s">
        <v>207</v>
      </c>
      <c r="F147" s="37" t="s">
        <v>574</v>
      </c>
      <c r="G147" s="44">
        <v>46009</v>
      </c>
      <c r="H147" s="3" t="s">
        <v>27</v>
      </c>
      <c r="I147" s="3">
        <v>46148</v>
      </c>
      <c r="J147" s="3"/>
      <c r="K147" s="1"/>
      <c r="L147" s="46">
        <v>22.86</v>
      </c>
      <c r="M147" s="1"/>
      <c r="N147" s="1"/>
      <c r="O147" s="5" t="s">
        <v>335</v>
      </c>
      <c r="P147" s="1"/>
      <c r="Q147" s="1"/>
    </row>
    <row r="148" spans="1:17" x14ac:dyDescent="0.25">
      <c r="A148" s="1"/>
      <c r="B148" s="1"/>
      <c r="C148" s="2" t="s">
        <v>25</v>
      </c>
      <c r="D148" s="1" t="s">
        <v>21</v>
      </c>
      <c r="E148" s="3" t="s">
        <v>209</v>
      </c>
      <c r="F148" s="37" t="s">
        <v>287</v>
      </c>
      <c r="G148" s="44">
        <v>46009</v>
      </c>
      <c r="H148" s="3" t="s">
        <v>27</v>
      </c>
      <c r="I148" s="3">
        <v>46151</v>
      </c>
      <c r="J148" s="3"/>
      <c r="K148" s="1"/>
      <c r="L148" s="46">
        <v>14.422000000000001</v>
      </c>
      <c r="M148" s="1"/>
      <c r="N148" s="1"/>
      <c r="O148" s="5" t="s">
        <v>335</v>
      </c>
      <c r="P148" s="1"/>
      <c r="Q148" s="1"/>
    </row>
    <row r="149" spans="1:17" x14ac:dyDescent="0.25">
      <c r="A149" s="1"/>
      <c r="B149" s="1"/>
      <c r="C149" s="2" t="s">
        <v>25</v>
      </c>
      <c r="D149" s="1" t="s">
        <v>21</v>
      </c>
      <c r="E149" s="3" t="s">
        <v>210</v>
      </c>
      <c r="F149" s="37" t="s">
        <v>575</v>
      </c>
      <c r="G149" s="44">
        <v>46009</v>
      </c>
      <c r="H149" s="3" t="s">
        <v>102</v>
      </c>
      <c r="I149" s="3"/>
      <c r="J149" s="3">
        <v>46186</v>
      </c>
      <c r="K149" s="1"/>
      <c r="L149" s="46"/>
      <c r="M149" s="1"/>
      <c r="N149" s="1"/>
      <c r="O149" s="5"/>
      <c r="P149" s="1"/>
      <c r="Q149" s="1"/>
    </row>
    <row r="150" spans="1:17" x14ac:dyDescent="0.25">
      <c r="A150" s="1"/>
      <c r="B150" s="1"/>
      <c r="C150" s="2" t="s">
        <v>25</v>
      </c>
      <c r="D150" s="1" t="s">
        <v>21</v>
      </c>
      <c r="E150" s="3" t="s">
        <v>212</v>
      </c>
      <c r="F150" s="37" t="s">
        <v>289</v>
      </c>
      <c r="G150" s="44">
        <v>46009</v>
      </c>
      <c r="H150" s="3" t="s">
        <v>102</v>
      </c>
      <c r="I150" s="3"/>
      <c r="J150" s="3"/>
      <c r="K150" s="1"/>
      <c r="L150" s="46"/>
      <c r="M150" s="1"/>
      <c r="N150" s="1"/>
      <c r="O150" s="5"/>
      <c r="P150" s="1"/>
      <c r="Q150" s="1"/>
    </row>
    <row r="151" spans="1:17" x14ac:dyDescent="0.25">
      <c r="A151" s="1"/>
      <c r="B151" s="1"/>
      <c r="C151" s="2" t="s">
        <v>25</v>
      </c>
      <c r="D151" s="1" t="s">
        <v>21</v>
      </c>
      <c r="E151" s="3" t="s">
        <v>214</v>
      </c>
      <c r="F151" s="37" t="s">
        <v>576</v>
      </c>
      <c r="G151" s="44">
        <v>46009</v>
      </c>
      <c r="H151" s="3" t="s">
        <v>102</v>
      </c>
      <c r="I151" s="3"/>
      <c r="J151" s="3">
        <v>46199</v>
      </c>
      <c r="K151" s="1"/>
      <c r="L151" s="46"/>
      <c r="M151" s="1"/>
      <c r="N151" s="1"/>
      <c r="O151" s="5"/>
      <c r="P151" s="1"/>
      <c r="Q151" s="1"/>
    </row>
    <row r="152" spans="1:17" x14ac:dyDescent="0.25">
      <c r="A152" s="1"/>
      <c r="B152" s="1"/>
      <c r="C152" s="2" t="s">
        <v>25</v>
      </c>
      <c r="D152" s="1" t="s">
        <v>21</v>
      </c>
      <c r="E152" s="3" t="s">
        <v>215</v>
      </c>
      <c r="F152" s="37" t="s">
        <v>291</v>
      </c>
      <c r="G152" s="44">
        <v>46009</v>
      </c>
      <c r="H152" s="3" t="s">
        <v>102</v>
      </c>
      <c r="I152" s="3"/>
      <c r="J152" s="3">
        <v>46196</v>
      </c>
      <c r="K152" s="1"/>
      <c r="L152" s="46"/>
      <c r="M152" s="1"/>
      <c r="N152" s="1"/>
      <c r="O152" s="5"/>
      <c r="P152" s="1"/>
      <c r="Q152" s="1"/>
    </row>
    <row r="153" spans="1:17" x14ac:dyDescent="0.25">
      <c r="A153" s="1"/>
      <c r="B153" s="1"/>
      <c r="C153" s="2" t="s">
        <v>25</v>
      </c>
      <c r="D153" s="1" t="s">
        <v>21</v>
      </c>
      <c r="E153" s="3" t="s">
        <v>217</v>
      </c>
      <c r="F153" s="37" t="s">
        <v>292</v>
      </c>
      <c r="G153" s="44">
        <v>46009</v>
      </c>
      <c r="H153" s="3" t="s">
        <v>27</v>
      </c>
      <c r="I153" s="3">
        <v>46141</v>
      </c>
      <c r="J153" s="3"/>
      <c r="K153" s="1"/>
      <c r="L153" s="46"/>
      <c r="M153" s="1"/>
      <c r="N153" s="1"/>
      <c r="O153" s="5" t="s">
        <v>335</v>
      </c>
      <c r="P153" s="1"/>
      <c r="Q153" s="1"/>
    </row>
    <row r="154" spans="1:17" x14ac:dyDescent="0.25">
      <c r="A154" s="1"/>
      <c r="B154" s="1"/>
      <c r="C154" s="2" t="s">
        <v>25</v>
      </c>
      <c r="D154" s="1" t="s">
        <v>21</v>
      </c>
      <c r="E154" s="3" t="s">
        <v>218</v>
      </c>
      <c r="F154" s="37" t="s">
        <v>695</v>
      </c>
      <c r="G154" s="44">
        <v>46009</v>
      </c>
      <c r="H154" s="3" t="s">
        <v>27</v>
      </c>
      <c r="I154" s="3">
        <v>46178</v>
      </c>
      <c r="J154" s="3"/>
      <c r="K154" s="1"/>
      <c r="L154" s="46"/>
      <c r="M154" s="1"/>
      <c r="N154" s="1"/>
      <c r="O154" s="5"/>
      <c r="P154" s="1"/>
      <c r="Q154" s="1"/>
    </row>
    <row r="155" spans="1:17" x14ac:dyDescent="0.25">
      <c r="A155" s="1"/>
      <c r="B155" s="1"/>
      <c r="C155" s="2" t="s">
        <v>25</v>
      </c>
      <c r="D155" s="1" t="s">
        <v>21</v>
      </c>
      <c r="E155" s="3" t="s">
        <v>226</v>
      </c>
      <c r="F155" s="37" t="s">
        <v>296</v>
      </c>
      <c r="G155" s="44">
        <v>46009</v>
      </c>
      <c r="H155" s="3" t="s">
        <v>102</v>
      </c>
      <c r="I155" s="3"/>
      <c r="J155" s="3">
        <v>46190</v>
      </c>
      <c r="K155" s="1"/>
      <c r="L155" s="46"/>
      <c r="M155" s="1"/>
      <c r="N155" s="1"/>
      <c r="O155" s="5"/>
      <c r="P155" s="1"/>
      <c r="Q155" s="1"/>
    </row>
    <row r="156" spans="1:17" x14ac:dyDescent="0.25">
      <c r="A156" s="1"/>
      <c r="B156" s="1"/>
      <c r="C156" s="2" t="s">
        <v>25</v>
      </c>
      <c r="D156" s="1" t="s">
        <v>21</v>
      </c>
      <c r="E156" s="3" t="s">
        <v>228</v>
      </c>
      <c r="F156" s="37" t="s">
        <v>297</v>
      </c>
      <c r="G156" s="44">
        <v>46009</v>
      </c>
      <c r="H156" s="3" t="s">
        <v>102</v>
      </c>
      <c r="I156" s="3"/>
      <c r="J156" s="3">
        <v>46190</v>
      </c>
      <c r="K156" s="1"/>
      <c r="L156" s="46"/>
      <c r="M156" s="1"/>
      <c r="N156" s="1"/>
      <c r="O156" s="5"/>
      <c r="P156" s="1"/>
      <c r="Q156" s="1"/>
    </row>
    <row r="157" spans="1:17" x14ac:dyDescent="0.25">
      <c r="A157" s="1"/>
      <c r="B157" s="1"/>
      <c r="C157" s="2" t="s">
        <v>25</v>
      </c>
      <c r="D157" s="1" t="s">
        <v>21</v>
      </c>
      <c r="E157" s="3" t="s">
        <v>230</v>
      </c>
      <c r="F157" s="37" t="s">
        <v>298</v>
      </c>
      <c r="G157" s="44">
        <v>46009</v>
      </c>
      <c r="H157" s="3" t="s">
        <v>102</v>
      </c>
      <c r="I157" s="3"/>
      <c r="J157" s="3">
        <v>46192</v>
      </c>
      <c r="K157" s="1"/>
      <c r="L157" s="46"/>
      <c r="M157" s="1"/>
      <c r="N157" s="1"/>
      <c r="O157" s="5"/>
      <c r="P157" s="1"/>
      <c r="Q157" s="1"/>
    </row>
    <row r="158" spans="1:17" x14ac:dyDescent="0.25">
      <c r="A158" s="1"/>
      <c r="B158" s="1"/>
      <c r="C158" s="2" t="s">
        <v>25</v>
      </c>
      <c r="D158" s="1" t="s">
        <v>21</v>
      </c>
      <c r="E158" s="3" t="s">
        <v>232</v>
      </c>
      <c r="F158" s="37" t="s">
        <v>299</v>
      </c>
      <c r="G158" s="44">
        <v>46009</v>
      </c>
      <c r="H158" s="3" t="s">
        <v>102</v>
      </c>
      <c r="I158" s="3"/>
      <c r="J158" s="3">
        <v>46196</v>
      </c>
      <c r="K158" s="1"/>
      <c r="L158" s="46"/>
      <c r="M158" s="1"/>
      <c r="N158" s="1"/>
      <c r="O158" s="5"/>
      <c r="P158" s="1"/>
      <c r="Q158" s="1"/>
    </row>
    <row r="159" spans="1:17" x14ac:dyDescent="0.25">
      <c r="A159" s="1"/>
      <c r="B159" s="1"/>
      <c r="C159" s="2" t="s">
        <v>25</v>
      </c>
      <c r="D159" s="1" t="s">
        <v>21</v>
      </c>
      <c r="E159" s="3" t="s">
        <v>234</v>
      </c>
      <c r="F159" s="37" t="s">
        <v>300</v>
      </c>
      <c r="G159" s="44">
        <v>46009</v>
      </c>
      <c r="H159" s="3" t="s">
        <v>102</v>
      </c>
      <c r="I159" s="3"/>
      <c r="J159" s="3">
        <v>46198</v>
      </c>
      <c r="K159" s="1"/>
      <c r="L159" s="46"/>
      <c r="M159" s="1"/>
      <c r="N159" s="1"/>
      <c r="O159" s="5"/>
      <c r="P159" s="1"/>
      <c r="Q159" s="1"/>
    </row>
    <row r="160" spans="1:17" x14ac:dyDescent="0.25">
      <c r="A160" s="1"/>
      <c r="B160" s="1"/>
      <c r="C160" s="2" t="s">
        <v>25</v>
      </c>
      <c r="D160" s="1" t="s">
        <v>21</v>
      </c>
      <c r="E160" s="3" t="s">
        <v>236</v>
      </c>
      <c r="F160" s="37" t="s">
        <v>301</v>
      </c>
      <c r="G160" s="44">
        <v>46009</v>
      </c>
      <c r="H160" s="3" t="s">
        <v>102</v>
      </c>
      <c r="I160" s="3"/>
      <c r="J160" s="3">
        <v>46198</v>
      </c>
      <c r="K160" s="1"/>
      <c r="L160" s="46"/>
      <c r="M160" s="1"/>
      <c r="N160" s="1"/>
      <c r="O160" s="5"/>
      <c r="P160" s="1"/>
      <c r="Q160" s="1"/>
    </row>
    <row r="161" spans="1:17" x14ac:dyDescent="0.25">
      <c r="A161" s="1"/>
      <c r="B161" s="1"/>
      <c r="C161" s="2" t="s">
        <v>25</v>
      </c>
      <c r="D161" s="1" t="s">
        <v>21</v>
      </c>
      <c r="E161" s="3" t="s">
        <v>238</v>
      </c>
      <c r="F161" s="37" t="s">
        <v>302</v>
      </c>
      <c r="G161" s="44">
        <v>46009</v>
      </c>
      <c r="H161" s="3" t="s">
        <v>102</v>
      </c>
      <c r="I161" s="3"/>
      <c r="J161" s="3">
        <v>46202</v>
      </c>
      <c r="K161" s="1"/>
      <c r="L161" s="46"/>
      <c r="M161" s="1"/>
      <c r="N161" s="1"/>
      <c r="O161" s="5"/>
      <c r="P161" s="1"/>
      <c r="Q161" s="1"/>
    </row>
    <row r="162" spans="1:17" x14ac:dyDescent="0.25">
      <c r="A162" s="1"/>
      <c r="B162" s="1"/>
      <c r="C162" s="2" t="s">
        <v>25</v>
      </c>
      <c r="D162" s="1" t="s">
        <v>21</v>
      </c>
      <c r="E162" s="3" t="s">
        <v>240</v>
      </c>
      <c r="F162" s="37" t="s">
        <v>303</v>
      </c>
      <c r="G162" s="44">
        <v>46009</v>
      </c>
      <c r="H162" s="3" t="s">
        <v>102</v>
      </c>
      <c r="I162" s="3"/>
      <c r="J162" s="3">
        <v>46204</v>
      </c>
      <c r="K162" s="1"/>
      <c r="L162" s="46"/>
      <c r="M162" s="1"/>
      <c r="N162" s="1"/>
      <c r="O162" s="5"/>
      <c r="P162" s="1"/>
      <c r="Q162" s="1"/>
    </row>
    <row r="163" spans="1:17" x14ac:dyDescent="0.25">
      <c r="A163" s="1"/>
      <c r="B163" s="1"/>
      <c r="C163" s="2" t="s">
        <v>25</v>
      </c>
      <c r="D163" s="1" t="s">
        <v>21</v>
      </c>
      <c r="E163" s="3" t="s">
        <v>242</v>
      </c>
      <c r="F163" s="37" t="s">
        <v>304</v>
      </c>
      <c r="G163" s="44">
        <v>46009</v>
      </c>
      <c r="H163" s="3" t="s">
        <v>102</v>
      </c>
      <c r="I163" s="3"/>
      <c r="J163" s="3">
        <v>46206</v>
      </c>
      <c r="K163" s="1"/>
      <c r="L163" s="46"/>
      <c r="M163" s="1"/>
      <c r="N163" s="1"/>
      <c r="O163" s="5"/>
      <c r="P163" s="1"/>
      <c r="Q163" s="1"/>
    </row>
    <row r="164" spans="1:17" x14ac:dyDescent="0.25">
      <c r="A164" s="1"/>
      <c r="B164" s="1"/>
      <c r="C164" s="2" t="s">
        <v>25</v>
      </c>
      <c r="D164" s="1" t="s">
        <v>21</v>
      </c>
      <c r="E164" s="3" t="s">
        <v>244</v>
      </c>
      <c r="F164" s="37" t="s">
        <v>305</v>
      </c>
      <c r="G164" s="44">
        <v>46009</v>
      </c>
      <c r="H164" s="3" t="s">
        <v>102</v>
      </c>
      <c r="I164" s="3"/>
      <c r="J164" s="3">
        <v>46210</v>
      </c>
      <c r="K164" s="1"/>
      <c r="L164" s="46"/>
      <c r="M164" s="1"/>
      <c r="N164" s="1"/>
      <c r="O164" s="5"/>
      <c r="P164" s="1"/>
      <c r="Q164" s="1"/>
    </row>
    <row r="165" spans="1:17" x14ac:dyDescent="0.25">
      <c r="A165" s="7"/>
      <c r="B165" s="7"/>
      <c r="C165" s="6"/>
      <c r="D165" s="7"/>
      <c r="E165" s="38"/>
      <c r="F165" s="38"/>
      <c r="G165" s="8"/>
      <c r="H165" s="39"/>
      <c r="I165" s="8"/>
      <c r="J165" s="9"/>
      <c r="K165" s="10"/>
      <c r="L165" s="7"/>
      <c r="M165" s="7"/>
      <c r="N165" s="7"/>
      <c r="O165" s="7"/>
      <c r="P165" s="7"/>
      <c r="Q165" s="7"/>
    </row>
    <row r="166" spans="1:17" x14ac:dyDescent="0.25">
      <c r="A166" s="1">
        <v>4</v>
      </c>
      <c r="B166" s="1"/>
      <c r="C166" s="2" t="s">
        <v>23</v>
      </c>
      <c r="D166" s="1" t="s">
        <v>21</v>
      </c>
      <c r="E166" s="3" t="s">
        <v>128</v>
      </c>
      <c r="F166" s="37" t="s">
        <v>129</v>
      </c>
      <c r="G166" s="44">
        <v>46035</v>
      </c>
      <c r="H166" s="3" t="s">
        <v>27</v>
      </c>
      <c r="I166" s="44">
        <v>46058</v>
      </c>
      <c r="J166" s="3"/>
      <c r="K166" s="1"/>
      <c r="L166" s="46">
        <v>23.071000000000002</v>
      </c>
      <c r="M166" s="1"/>
      <c r="N166" s="1"/>
      <c r="O166" s="5"/>
      <c r="P166" s="1"/>
      <c r="Q166" s="1"/>
    </row>
    <row r="167" spans="1:17" x14ac:dyDescent="0.25">
      <c r="A167" s="1"/>
      <c r="B167" s="1"/>
      <c r="C167" s="2" t="s">
        <v>23</v>
      </c>
      <c r="D167" s="1" t="s">
        <v>21</v>
      </c>
      <c r="E167" s="3" t="s">
        <v>130</v>
      </c>
      <c r="F167" s="37" t="s">
        <v>131</v>
      </c>
      <c r="G167" s="44">
        <v>46035</v>
      </c>
      <c r="H167" s="3" t="s">
        <v>27</v>
      </c>
      <c r="I167" s="44">
        <v>46058</v>
      </c>
      <c r="J167" s="3"/>
      <c r="K167" s="1"/>
      <c r="L167" s="46">
        <v>26.204999999999998</v>
      </c>
      <c r="M167" s="1"/>
      <c r="N167" s="1"/>
      <c r="O167" s="5" t="s">
        <v>335</v>
      </c>
      <c r="P167" s="1"/>
      <c r="Q167" s="1"/>
    </row>
    <row r="168" spans="1:17" x14ac:dyDescent="0.25">
      <c r="A168" s="1"/>
      <c r="B168" s="1"/>
      <c r="C168" s="2" t="s">
        <v>23</v>
      </c>
      <c r="D168" s="1" t="s">
        <v>21</v>
      </c>
      <c r="E168" s="3" t="s">
        <v>132</v>
      </c>
      <c r="F168" s="37" t="s">
        <v>133</v>
      </c>
      <c r="G168" s="44">
        <v>46035</v>
      </c>
      <c r="H168" s="3" t="s">
        <v>27</v>
      </c>
      <c r="I168" s="44">
        <v>46081</v>
      </c>
      <c r="J168" s="3"/>
      <c r="K168" s="1"/>
      <c r="L168" s="46">
        <v>21.963000000000001</v>
      </c>
      <c r="M168" s="1"/>
      <c r="N168" s="1"/>
      <c r="O168" s="5"/>
      <c r="P168" s="1"/>
      <c r="Q168" s="1"/>
    </row>
    <row r="169" spans="1:17" x14ac:dyDescent="0.25">
      <c r="A169" s="1"/>
      <c r="B169" s="1"/>
      <c r="C169" s="2" t="s">
        <v>23</v>
      </c>
      <c r="D169" s="1" t="s">
        <v>21</v>
      </c>
      <c r="E169" s="3" t="s">
        <v>134</v>
      </c>
      <c r="F169" s="37" t="s">
        <v>135</v>
      </c>
      <c r="G169" s="44">
        <v>46035</v>
      </c>
      <c r="H169" s="3" t="s">
        <v>27</v>
      </c>
      <c r="I169" s="44">
        <v>46080</v>
      </c>
      <c r="J169" s="3"/>
      <c r="K169" s="1"/>
      <c r="L169" s="46">
        <v>25.524000000000001</v>
      </c>
      <c r="M169" s="1"/>
      <c r="N169" s="1"/>
      <c r="O169" s="5" t="s">
        <v>335</v>
      </c>
      <c r="P169" s="1"/>
      <c r="Q169" s="1"/>
    </row>
    <row r="170" spans="1:17" x14ac:dyDescent="0.25">
      <c r="A170" s="1"/>
      <c r="B170" s="1"/>
      <c r="C170" s="2" t="s">
        <v>23</v>
      </c>
      <c r="D170" s="1" t="s">
        <v>21</v>
      </c>
      <c r="E170" s="3" t="s">
        <v>136</v>
      </c>
      <c r="F170" s="37" t="s">
        <v>137</v>
      </c>
      <c r="G170" s="44">
        <v>46035</v>
      </c>
      <c r="H170" s="3" t="s">
        <v>27</v>
      </c>
      <c r="I170" s="44">
        <v>46081</v>
      </c>
      <c r="J170" s="3"/>
      <c r="K170" s="1"/>
      <c r="L170" s="46">
        <v>21.533999999999999</v>
      </c>
      <c r="M170" s="1"/>
      <c r="N170" s="1"/>
      <c r="O170" s="5"/>
      <c r="P170" s="1"/>
      <c r="Q170" s="1"/>
    </row>
    <row r="171" spans="1:17" x14ac:dyDescent="0.25">
      <c r="A171" s="1"/>
      <c r="B171" s="1"/>
      <c r="C171" s="2" t="s">
        <v>23</v>
      </c>
      <c r="D171" s="1" t="s">
        <v>21</v>
      </c>
      <c r="E171" s="3" t="s">
        <v>138</v>
      </c>
      <c r="F171" s="37" t="s">
        <v>139</v>
      </c>
      <c r="G171" s="44">
        <v>46035</v>
      </c>
      <c r="H171" s="3" t="s">
        <v>27</v>
      </c>
      <c r="I171" s="44">
        <v>46080</v>
      </c>
      <c r="J171" s="3"/>
      <c r="K171" s="1"/>
      <c r="L171" s="46">
        <v>25.367000000000001</v>
      </c>
      <c r="M171" s="1"/>
      <c r="N171" s="1"/>
      <c r="O171" s="5" t="s">
        <v>335</v>
      </c>
      <c r="P171" s="1"/>
      <c r="Q171" s="1"/>
    </row>
    <row r="172" spans="1:17" x14ac:dyDescent="0.25">
      <c r="A172" s="1"/>
      <c r="B172" s="1"/>
      <c r="C172" s="2" t="s">
        <v>23</v>
      </c>
      <c r="D172" s="1" t="s">
        <v>21</v>
      </c>
      <c r="E172" s="3" t="s">
        <v>140</v>
      </c>
      <c r="F172" s="37" t="s">
        <v>141</v>
      </c>
      <c r="G172" s="44">
        <v>46035</v>
      </c>
      <c r="H172" s="3" t="s">
        <v>27</v>
      </c>
      <c r="I172" s="44">
        <v>46067</v>
      </c>
      <c r="J172" s="3"/>
      <c r="K172" s="1"/>
      <c r="L172" s="46">
        <v>22.122</v>
      </c>
      <c r="M172" s="1"/>
      <c r="N172" s="1"/>
      <c r="O172" s="5"/>
      <c r="P172" s="1"/>
      <c r="Q172" s="1"/>
    </row>
    <row r="173" spans="1:17" x14ac:dyDescent="0.25">
      <c r="A173" s="1"/>
      <c r="B173" s="1"/>
      <c r="C173" s="2" t="s">
        <v>23</v>
      </c>
      <c r="D173" s="1" t="s">
        <v>21</v>
      </c>
      <c r="E173" s="3" t="s">
        <v>142</v>
      </c>
      <c r="F173" s="37" t="s">
        <v>143</v>
      </c>
      <c r="G173" s="44">
        <v>46035</v>
      </c>
      <c r="H173" s="3" t="s">
        <v>27</v>
      </c>
      <c r="I173" s="44">
        <v>46080</v>
      </c>
      <c r="J173" s="3"/>
      <c r="K173" s="1"/>
      <c r="L173" s="46">
        <v>25.353000000000002</v>
      </c>
      <c r="M173" s="1"/>
      <c r="N173" s="1"/>
      <c r="O173" s="5" t="s">
        <v>335</v>
      </c>
      <c r="P173" s="1"/>
      <c r="Q173" s="1"/>
    </row>
    <row r="174" spans="1:17" x14ac:dyDescent="0.25">
      <c r="A174" s="1"/>
      <c r="B174" s="1"/>
      <c r="C174" s="2" t="s">
        <v>23</v>
      </c>
      <c r="D174" s="1" t="s">
        <v>21</v>
      </c>
      <c r="E174" s="3" t="s">
        <v>144</v>
      </c>
      <c r="F174" s="37" t="s">
        <v>145</v>
      </c>
      <c r="G174" s="44">
        <v>46035</v>
      </c>
      <c r="H174" s="3" t="s">
        <v>27</v>
      </c>
      <c r="I174" s="44">
        <v>46067</v>
      </c>
      <c r="J174" s="3"/>
      <c r="K174" s="1"/>
      <c r="L174" s="46">
        <v>22.123000000000001</v>
      </c>
      <c r="M174" s="1"/>
      <c r="N174" s="1"/>
      <c r="O174" s="5"/>
      <c r="P174" s="1"/>
      <c r="Q174" s="1"/>
    </row>
    <row r="175" spans="1:17" x14ac:dyDescent="0.25">
      <c r="A175" s="1"/>
      <c r="B175" s="1"/>
      <c r="C175" s="2" t="s">
        <v>23</v>
      </c>
      <c r="D175" s="1" t="s">
        <v>21</v>
      </c>
      <c r="E175" s="3" t="s">
        <v>146</v>
      </c>
      <c r="F175" s="37" t="s">
        <v>147</v>
      </c>
      <c r="G175" s="44">
        <v>46035</v>
      </c>
      <c r="H175" s="3" t="s">
        <v>27</v>
      </c>
      <c r="I175" s="44">
        <v>46081</v>
      </c>
      <c r="J175" s="3"/>
      <c r="K175" s="1"/>
      <c r="L175" s="46">
        <v>25.385000000000002</v>
      </c>
      <c r="M175" s="1"/>
      <c r="N175" s="1"/>
      <c r="O175" s="5" t="s">
        <v>335</v>
      </c>
      <c r="P175" s="1"/>
      <c r="Q175" s="1"/>
    </row>
    <row r="176" spans="1:17" x14ac:dyDescent="0.25">
      <c r="A176" s="1"/>
      <c r="B176" s="1"/>
      <c r="C176" s="2" t="s">
        <v>23</v>
      </c>
      <c r="D176" s="1" t="s">
        <v>21</v>
      </c>
      <c r="E176" s="3" t="s">
        <v>148</v>
      </c>
      <c r="F176" s="37" t="s">
        <v>149</v>
      </c>
      <c r="G176" s="44">
        <v>46035</v>
      </c>
      <c r="H176" s="3" t="s">
        <v>27</v>
      </c>
      <c r="I176" s="44">
        <v>46067</v>
      </c>
      <c r="J176" s="3"/>
      <c r="K176" s="1"/>
      <c r="L176" s="46">
        <v>22.123999999999999</v>
      </c>
      <c r="M176" s="1"/>
      <c r="N176" s="1"/>
      <c r="O176" s="5"/>
      <c r="P176" s="1"/>
      <c r="Q176" s="1"/>
    </row>
    <row r="177" spans="1:17" x14ac:dyDescent="0.25">
      <c r="A177" s="1"/>
      <c r="B177" s="1"/>
      <c r="C177" s="2" t="s">
        <v>23</v>
      </c>
      <c r="D177" s="1" t="s">
        <v>21</v>
      </c>
      <c r="E177" s="3" t="s">
        <v>150</v>
      </c>
      <c r="F177" s="37" t="s">
        <v>151</v>
      </c>
      <c r="G177" s="44">
        <v>46035</v>
      </c>
      <c r="H177" s="3" t="s">
        <v>27</v>
      </c>
      <c r="I177" s="44">
        <v>46081</v>
      </c>
      <c r="J177" s="3"/>
      <c r="K177" s="1"/>
      <c r="L177" s="46">
        <v>27.222000000000001</v>
      </c>
      <c r="M177" s="1"/>
      <c r="N177" s="1"/>
      <c r="O177" s="5" t="s">
        <v>335</v>
      </c>
      <c r="P177" s="1"/>
      <c r="Q177" s="1"/>
    </row>
    <row r="178" spans="1:17" x14ac:dyDescent="0.25">
      <c r="A178" s="1"/>
      <c r="B178" s="1"/>
      <c r="C178" s="2" t="s">
        <v>23</v>
      </c>
      <c r="D178" s="1" t="s">
        <v>21</v>
      </c>
      <c r="E178" s="3" t="s">
        <v>152</v>
      </c>
      <c r="F178" s="37" t="s">
        <v>153</v>
      </c>
      <c r="G178" s="44">
        <v>46035</v>
      </c>
      <c r="H178" s="3" t="s">
        <v>27</v>
      </c>
      <c r="I178" s="44">
        <v>46067</v>
      </c>
      <c r="J178" s="3"/>
      <c r="K178" s="1"/>
      <c r="L178" s="46">
        <v>22.123000000000001</v>
      </c>
      <c r="M178" s="1"/>
      <c r="N178" s="1"/>
      <c r="O178" s="5"/>
      <c r="P178" s="1"/>
      <c r="Q178" s="1"/>
    </row>
    <row r="179" spans="1:17" x14ac:dyDescent="0.25">
      <c r="A179" s="1"/>
      <c r="B179" s="1"/>
      <c r="C179" s="2" t="s">
        <v>23</v>
      </c>
      <c r="D179" s="1" t="s">
        <v>21</v>
      </c>
      <c r="E179" s="3" t="s">
        <v>154</v>
      </c>
      <c r="F179" s="37" t="s">
        <v>155</v>
      </c>
      <c r="G179" s="44">
        <v>46035</v>
      </c>
      <c r="H179" s="3" t="s">
        <v>27</v>
      </c>
      <c r="I179" s="44">
        <v>46081</v>
      </c>
      <c r="J179" s="3"/>
      <c r="K179" s="1"/>
      <c r="L179" s="46">
        <v>15.782999999999999</v>
      </c>
      <c r="M179" s="1"/>
      <c r="N179" s="1"/>
      <c r="O179" s="5" t="s">
        <v>335</v>
      </c>
      <c r="P179" s="1"/>
      <c r="Q179" s="1"/>
    </row>
    <row r="180" spans="1:17" x14ac:dyDescent="0.25">
      <c r="A180" s="1"/>
      <c r="B180" s="1"/>
      <c r="C180" s="2" t="s">
        <v>23</v>
      </c>
      <c r="D180" s="1" t="s">
        <v>21</v>
      </c>
      <c r="E180" s="3" t="s">
        <v>156</v>
      </c>
      <c r="F180" s="37" t="s">
        <v>157</v>
      </c>
      <c r="G180" s="44">
        <v>46035</v>
      </c>
      <c r="H180" s="3" t="s">
        <v>27</v>
      </c>
      <c r="I180" s="44">
        <v>46069</v>
      </c>
      <c r="J180" s="3"/>
      <c r="K180" s="1"/>
      <c r="L180" s="46">
        <v>33.383000000000003</v>
      </c>
      <c r="M180" s="1"/>
      <c r="N180" s="1"/>
      <c r="O180" s="5"/>
      <c r="P180" s="1"/>
      <c r="Q180" s="1"/>
    </row>
    <row r="181" spans="1:17" x14ac:dyDescent="0.25">
      <c r="A181" s="1"/>
      <c r="B181" s="1"/>
      <c r="C181" s="2" t="s">
        <v>23</v>
      </c>
      <c r="D181" s="1" t="s">
        <v>21</v>
      </c>
      <c r="E181" s="3" t="s">
        <v>158</v>
      </c>
      <c r="F181" s="37" t="s">
        <v>159</v>
      </c>
      <c r="G181" s="44">
        <v>46035</v>
      </c>
      <c r="H181" s="3" t="s">
        <v>27</v>
      </c>
      <c r="I181" s="44">
        <v>46094</v>
      </c>
      <c r="J181" s="3"/>
      <c r="K181" s="1"/>
      <c r="L181" s="46">
        <v>2.56</v>
      </c>
      <c r="M181" s="1"/>
      <c r="N181" s="1"/>
      <c r="O181" s="5" t="s">
        <v>335</v>
      </c>
      <c r="P181" s="1"/>
      <c r="Q181" s="1"/>
    </row>
    <row r="182" spans="1:17" x14ac:dyDescent="0.25">
      <c r="A182" s="1"/>
      <c r="B182" s="1"/>
      <c r="C182" s="2" t="s">
        <v>23</v>
      </c>
      <c r="D182" s="1" t="s">
        <v>21</v>
      </c>
      <c r="E182" s="3" t="s">
        <v>160</v>
      </c>
      <c r="F182" s="37" t="s">
        <v>161</v>
      </c>
      <c r="G182" s="44">
        <v>46035</v>
      </c>
      <c r="H182" s="3" t="s">
        <v>27</v>
      </c>
      <c r="I182" s="44">
        <v>46094</v>
      </c>
      <c r="J182" s="3"/>
      <c r="K182" s="1"/>
      <c r="L182" s="46">
        <v>3.0990000000000002</v>
      </c>
      <c r="M182" s="1"/>
      <c r="N182" s="1"/>
      <c r="O182" s="5"/>
      <c r="P182" s="1"/>
      <c r="Q182" s="1"/>
    </row>
    <row r="183" spans="1:17" x14ac:dyDescent="0.25">
      <c r="A183" s="1"/>
      <c r="B183" s="1"/>
      <c r="C183" s="2" t="s">
        <v>23</v>
      </c>
      <c r="D183" s="1" t="s">
        <v>21</v>
      </c>
      <c r="E183" s="3" t="s">
        <v>162</v>
      </c>
      <c r="F183" s="37" t="s">
        <v>163</v>
      </c>
      <c r="G183" s="44">
        <v>46035</v>
      </c>
      <c r="H183" s="3" t="s">
        <v>27</v>
      </c>
      <c r="I183" s="44">
        <v>46094</v>
      </c>
      <c r="J183" s="3"/>
      <c r="K183" s="1"/>
      <c r="L183" s="46">
        <v>2.2170000000000001</v>
      </c>
      <c r="M183" s="1"/>
      <c r="N183" s="1"/>
      <c r="O183" s="5"/>
      <c r="P183" s="1"/>
      <c r="Q183" s="1"/>
    </row>
    <row r="184" spans="1:17" x14ac:dyDescent="0.25">
      <c r="A184" s="1"/>
      <c r="B184" s="1"/>
      <c r="C184" s="2" t="s">
        <v>23</v>
      </c>
      <c r="D184" s="1" t="s">
        <v>21</v>
      </c>
      <c r="E184" s="3" t="s">
        <v>164</v>
      </c>
      <c r="F184" s="37" t="s">
        <v>165</v>
      </c>
      <c r="G184" s="44">
        <v>46035</v>
      </c>
      <c r="H184" s="3" t="s">
        <v>27</v>
      </c>
      <c r="I184" s="44">
        <v>46094</v>
      </c>
      <c r="J184" s="3"/>
      <c r="K184" s="1"/>
      <c r="L184" s="46">
        <v>2.782</v>
      </c>
      <c r="M184" s="1"/>
      <c r="N184" s="1"/>
      <c r="O184" s="5"/>
      <c r="P184" s="1"/>
      <c r="Q184" s="1"/>
    </row>
    <row r="185" spans="1:17" x14ac:dyDescent="0.25">
      <c r="A185" s="7"/>
      <c r="B185" s="7"/>
      <c r="C185" s="6"/>
      <c r="D185" s="7"/>
      <c r="E185" s="38"/>
      <c r="F185" s="38"/>
      <c r="G185" s="8"/>
      <c r="H185" s="39"/>
      <c r="I185" s="8"/>
      <c r="J185" s="9"/>
      <c r="K185" s="10"/>
      <c r="L185" s="7"/>
      <c r="M185" s="7"/>
      <c r="N185" s="7"/>
      <c r="O185" s="7"/>
      <c r="P185" s="7"/>
      <c r="Q185" s="7"/>
    </row>
    <row r="186" spans="1:17" x14ac:dyDescent="0.25">
      <c r="A186" s="1">
        <v>5</v>
      </c>
      <c r="B186" s="1"/>
      <c r="C186" s="2" t="s">
        <v>329</v>
      </c>
      <c r="D186" s="1" t="s">
        <v>332</v>
      </c>
      <c r="E186" s="3" t="s">
        <v>330</v>
      </c>
      <c r="F186" s="37" t="s">
        <v>331</v>
      </c>
      <c r="G186" s="44">
        <v>46035</v>
      </c>
      <c r="H186" s="3" t="s">
        <v>27</v>
      </c>
      <c r="I186" s="44">
        <v>46062</v>
      </c>
      <c r="J186" s="3"/>
      <c r="K186" s="11"/>
      <c r="L186" s="46"/>
      <c r="M186" s="1"/>
      <c r="N186" s="1"/>
      <c r="O186" s="5" t="s">
        <v>335</v>
      </c>
      <c r="P186" s="1"/>
      <c r="Q186" s="1"/>
    </row>
    <row r="187" spans="1:17" x14ac:dyDescent="0.25">
      <c r="A187" s="1"/>
      <c r="B187" s="1"/>
      <c r="C187" s="2" t="s">
        <v>329</v>
      </c>
      <c r="D187" s="1" t="s">
        <v>21</v>
      </c>
      <c r="E187" s="3" t="s">
        <v>625</v>
      </c>
      <c r="F187" s="37" t="s">
        <v>307</v>
      </c>
      <c r="G187" s="44">
        <v>46035</v>
      </c>
      <c r="H187" s="3" t="s">
        <v>27</v>
      </c>
      <c r="I187" s="44">
        <v>46065</v>
      </c>
      <c r="J187" s="3">
        <v>46125</v>
      </c>
      <c r="K187" s="11"/>
      <c r="L187" s="46">
        <v>82.837999999999994</v>
      </c>
      <c r="M187" s="1"/>
      <c r="N187" s="1"/>
      <c r="O187" s="5" t="s">
        <v>334</v>
      </c>
      <c r="P187" s="1"/>
      <c r="Q187" s="1"/>
    </row>
    <row r="188" spans="1:17" x14ac:dyDescent="0.25">
      <c r="A188" s="1"/>
      <c r="B188" s="1"/>
      <c r="C188" s="2" t="s">
        <v>329</v>
      </c>
      <c r="D188" s="1" t="s">
        <v>21</v>
      </c>
      <c r="E188" s="3" t="s">
        <v>626</v>
      </c>
      <c r="F188" s="37" t="s">
        <v>308</v>
      </c>
      <c r="G188" s="44">
        <v>46035</v>
      </c>
      <c r="H188" s="3" t="s">
        <v>22</v>
      </c>
      <c r="I188" s="44">
        <v>46114</v>
      </c>
      <c r="J188" s="3">
        <v>46125</v>
      </c>
      <c r="K188" s="11"/>
      <c r="L188" s="46">
        <v>118.16800000000001</v>
      </c>
      <c r="M188" s="1"/>
      <c r="N188" s="1"/>
      <c r="O188" s="5" t="s">
        <v>356</v>
      </c>
      <c r="P188" s="1"/>
      <c r="Q188" s="1"/>
    </row>
    <row r="189" spans="1:17" x14ac:dyDescent="0.25">
      <c r="A189" s="1"/>
      <c r="B189" s="1"/>
      <c r="C189" s="2" t="s">
        <v>329</v>
      </c>
      <c r="D189" s="1" t="s">
        <v>21</v>
      </c>
      <c r="E189" s="3" t="s">
        <v>627</v>
      </c>
      <c r="F189" s="37" t="s">
        <v>309</v>
      </c>
      <c r="G189" s="44">
        <v>46035</v>
      </c>
      <c r="H189" s="3" t="s">
        <v>27</v>
      </c>
      <c r="I189" s="44">
        <v>46132</v>
      </c>
      <c r="J189" s="3">
        <v>46132</v>
      </c>
      <c r="K189" s="11"/>
      <c r="L189" s="46">
        <v>51.777999999999999</v>
      </c>
      <c r="M189" s="1"/>
      <c r="N189" s="1"/>
      <c r="O189" s="5" t="s">
        <v>338</v>
      </c>
      <c r="P189" s="1"/>
      <c r="Q189" s="1"/>
    </row>
    <row r="190" spans="1:17" x14ac:dyDescent="0.25">
      <c r="A190" s="1"/>
      <c r="B190" s="1"/>
      <c r="C190" s="2" t="s">
        <v>329</v>
      </c>
      <c r="D190" s="1" t="s">
        <v>21</v>
      </c>
      <c r="E190" s="3" t="s">
        <v>628</v>
      </c>
      <c r="F190" s="37" t="s">
        <v>310</v>
      </c>
      <c r="G190" s="44">
        <v>46035</v>
      </c>
      <c r="H190" s="3" t="s">
        <v>27</v>
      </c>
      <c r="I190" s="44"/>
      <c r="J190" s="3">
        <v>46136</v>
      </c>
      <c r="K190" s="11"/>
      <c r="L190" s="46">
        <v>24.817</v>
      </c>
      <c r="M190" s="1"/>
      <c r="N190" s="1"/>
      <c r="O190" s="5" t="s">
        <v>356</v>
      </c>
      <c r="P190" s="1"/>
      <c r="Q190" s="1"/>
    </row>
    <row r="191" spans="1:17" x14ac:dyDescent="0.25">
      <c r="A191" s="1"/>
      <c r="B191" s="1"/>
      <c r="C191" s="2" t="s">
        <v>329</v>
      </c>
      <c r="D191" s="1" t="s">
        <v>21</v>
      </c>
      <c r="E191" s="3" t="s">
        <v>629</v>
      </c>
      <c r="F191" s="37" t="s">
        <v>386</v>
      </c>
      <c r="G191" s="44">
        <v>46035</v>
      </c>
      <c r="H191" s="3" t="s">
        <v>27</v>
      </c>
      <c r="I191" s="44">
        <v>46143</v>
      </c>
      <c r="J191" s="3">
        <v>46136</v>
      </c>
      <c r="K191" s="11"/>
      <c r="L191" s="46">
        <v>71.819999999999993</v>
      </c>
      <c r="M191" s="1"/>
      <c r="N191" s="1"/>
      <c r="O191" s="5" t="s">
        <v>338</v>
      </c>
      <c r="P191" s="1"/>
      <c r="Q191" s="1"/>
    </row>
    <row r="192" spans="1:17" x14ac:dyDescent="0.25">
      <c r="A192" s="1"/>
      <c r="B192" s="1"/>
      <c r="C192" s="2" t="s">
        <v>329</v>
      </c>
      <c r="D192" s="1" t="s">
        <v>21</v>
      </c>
      <c r="E192" s="3" t="s">
        <v>620</v>
      </c>
      <c r="F192" s="37" t="s">
        <v>311</v>
      </c>
      <c r="G192" s="44">
        <v>46035</v>
      </c>
      <c r="H192" s="3" t="s">
        <v>27</v>
      </c>
      <c r="I192" s="44">
        <v>46150</v>
      </c>
      <c r="J192" s="3">
        <v>46139</v>
      </c>
      <c r="K192" s="11"/>
      <c r="L192" s="46">
        <v>85.402000000000001</v>
      </c>
      <c r="M192" s="1"/>
      <c r="N192" s="1"/>
      <c r="O192" s="5" t="s">
        <v>338</v>
      </c>
      <c r="P192" s="1"/>
      <c r="Q192" s="1"/>
    </row>
    <row r="193" spans="1:17" x14ac:dyDescent="0.25">
      <c r="A193" s="1"/>
      <c r="B193" s="1"/>
      <c r="C193" s="2" t="s">
        <v>329</v>
      </c>
      <c r="D193" s="1" t="s">
        <v>21</v>
      </c>
      <c r="E193" s="3" t="s">
        <v>621</v>
      </c>
      <c r="F193" s="37" t="s">
        <v>312</v>
      </c>
      <c r="G193" s="44">
        <v>46035</v>
      </c>
      <c r="H193" s="3" t="s">
        <v>27</v>
      </c>
      <c r="I193" s="44">
        <v>46150</v>
      </c>
      <c r="J193" s="3">
        <v>46142</v>
      </c>
      <c r="K193" s="11"/>
      <c r="L193" s="46">
        <v>5.9690000000000003</v>
      </c>
      <c r="M193" s="1"/>
      <c r="N193" s="1"/>
      <c r="O193" s="5" t="s">
        <v>356</v>
      </c>
      <c r="P193" s="1"/>
      <c r="Q193" s="1"/>
    </row>
    <row r="194" spans="1:17" x14ac:dyDescent="0.25">
      <c r="A194" s="1"/>
      <c r="B194" s="1"/>
      <c r="C194" s="2" t="s">
        <v>329</v>
      </c>
      <c r="D194" s="1" t="s">
        <v>21</v>
      </c>
      <c r="E194" s="3" t="s">
        <v>622</v>
      </c>
      <c r="F194" s="37" t="s">
        <v>619</v>
      </c>
      <c r="G194" s="44">
        <v>46035</v>
      </c>
      <c r="H194" s="3" t="s">
        <v>27</v>
      </c>
      <c r="I194" s="44">
        <v>46150</v>
      </c>
      <c r="J194" s="3">
        <v>46142</v>
      </c>
      <c r="K194" s="11"/>
      <c r="L194" s="46">
        <v>2.214</v>
      </c>
      <c r="M194" s="1"/>
      <c r="N194" s="1"/>
      <c r="O194" s="5" t="s">
        <v>356</v>
      </c>
      <c r="P194" s="1"/>
      <c r="Q194" s="1"/>
    </row>
    <row r="195" spans="1:17" x14ac:dyDescent="0.25">
      <c r="A195" s="1"/>
      <c r="B195" s="1"/>
      <c r="C195" s="2" t="s">
        <v>329</v>
      </c>
      <c r="D195" s="1" t="s">
        <v>21</v>
      </c>
      <c r="E195" s="3" t="s">
        <v>623</v>
      </c>
      <c r="F195" s="37" t="s">
        <v>313</v>
      </c>
      <c r="G195" s="44">
        <v>46035</v>
      </c>
      <c r="H195" s="3" t="s">
        <v>27</v>
      </c>
      <c r="I195" s="44">
        <v>46157</v>
      </c>
      <c r="J195" s="3">
        <v>46146</v>
      </c>
      <c r="K195" s="11"/>
      <c r="L195" s="46">
        <v>4.4619999999999997</v>
      </c>
      <c r="M195" s="1"/>
      <c r="N195" s="1"/>
      <c r="O195" s="5" t="s">
        <v>356</v>
      </c>
      <c r="P195" s="1"/>
      <c r="Q195" s="1"/>
    </row>
    <row r="196" spans="1:17" x14ac:dyDescent="0.25">
      <c r="A196" s="1"/>
      <c r="B196" s="1"/>
      <c r="C196" s="2" t="s">
        <v>329</v>
      </c>
      <c r="D196" s="1" t="s">
        <v>21</v>
      </c>
      <c r="E196" s="3" t="s">
        <v>624</v>
      </c>
      <c r="F196" s="37" t="s">
        <v>314</v>
      </c>
      <c r="G196" s="44">
        <v>46035</v>
      </c>
      <c r="H196" s="3" t="s">
        <v>27</v>
      </c>
      <c r="I196" s="44">
        <v>46157</v>
      </c>
      <c r="J196" s="3">
        <v>46147</v>
      </c>
      <c r="K196" s="11"/>
      <c r="L196" s="46">
        <v>34.411999999999999</v>
      </c>
      <c r="M196" s="1"/>
      <c r="N196" s="1"/>
      <c r="O196" s="5" t="s">
        <v>356</v>
      </c>
      <c r="P196" s="1"/>
      <c r="Q196" s="1"/>
    </row>
    <row r="197" spans="1:17" x14ac:dyDescent="0.25">
      <c r="A197" s="1"/>
      <c r="B197" s="1"/>
      <c r="C197" s="2" t="s">
        <v>329</v>
      </c>
      <c r="D197" s="1" t="s">
        <v>21</v>
      </c>
      <c r="E197" s="3" t="s">
        <v>315</v>
      </c>
      <c r="F197" s="37" t="s">
        <v>316</v>
      </c>
      <c r="G197" s="44">
        <v>46035</v>
      </c>
      <c r="H197" s="3" t="s">
        <v>27</v>
      </c>
      <c r="I197" s="44">
        <v>46164</v>
      </c>
      <c r="J197" s="3">
        <v>46150</v>
      </c>
      <c r="K197" s="11"/>
      <c r="L197" s="46">
        <v>34.412999999999997</v>
      </c>
      <c r="M197" s="1"/>
      <c r="N197" s="1"/>
      <c r="O197" s="5" t="s">
        <v>356</v>
      </c>
      <c r="P197" s="1"/>
      <c r="Q197" s="1"/>
    </row>
    <row r="198" spans="1:17" x14ac:dyDescent="0.25">
      <c r="A198" s="1"/>
      <c r="B198" s="1"/>
      <c r="C198" s="2" t="s">
        <v>329</v>
      </c>
      <c r="D198" s="1" t="s">
        <v>21</v>
      </c>
      <c r="E198" s="3" t="s">
        <v>317</v>
      </c>
      <c r="F198" s="37" t="s">
        <v>318</v>
      </c>
      <c r="G198" s="44">
        <v>46035</v>
      </c>
      <c r="H198" s="3" t="s">
        <v>27</v>
      </c>
      <c r="I198" s="44">
        <v>46164</v>
      </c>
      <c r="J198" s="3">
        <v>46153</v>
      </c>
      <c r="K198" s="11"/>
      <c r="L198" s="46">
        <v>4.3810000000000002</v>
      </c>
      <c r="M198" s="1"/>
      <c r="N198" s="1"/>
      <c r="O198" s="5" t="s">
        <v>356</v>
      </c>
      <c r="P198" s="1"/>
      <c r="Q198" s="1"/>
    </row>
    <row r="199" spans="1:17" x14ac:dyDescent="0.25">
      <c r="A199" s="1"/>
      <c r="B199" s="1"/>
      <c r="C199" s="2" t="s">
        <v>329</v>
      </c>
      <c r="D199" s="1" t="s">
        <v>21</v>
      </c>
      <c r="E199" s="3" t="s">
        <v>319</v>
      </c>
      <c r="F199" s="37" t="s">
        <v>320</v>
      </c>
      <c r="G199" s="44">
        <v>46035</v>
      </c>
      <c r="H199" s="3" t="s">
        <v>27</v>
      </c>
      <c r="I199" s="44">
        <v>46170</v>
      </c>
      <c r="J199" s="3">
        <v>46157</v>
      </c>
      <c r="K199" s="11"/>
      <c r="L199" s="46">
        <v>34.313000000000002</v>
      </c>
      <c r="M199" s="1"/>
      <c r="N199" s="1"/>
      <c r="O199" s="5" t="s">
        <v>356</v>
      </c>
      <c r="P199" s="1"/>
      <c r="Q199" s="1"/>
    </row>
    <row r="200" spans="1:17" x14ac:dyDescent="0.25">
      <c r="A200" s="1"/>
      <c r="B200" s="1"/>
      <c r="C200" s="2" t="s">
        <v>329</v>
      </c>
      <c r="D200" s="1" t="s">
        <v>21</v>
      </c>
      <c r="E200" s="3" t="s">
        <v>271</v>
      </c>
      <c r="F200" s="37" t="s">
        <v>321</v>
      </c>
      <c r="G200" s="44">
        <v>46035</v>
      </c>
      <c r="H200" s="3" t="s">
        <v>27</v>
      </c>
      <c r="I200" s="44">
        <v>46170</v>
      </c>
      <c r="J200" s="3">
        <v>46163</v>
      </c>
      <c r="K200" s="11"/>
      <c r="L200" s="46">
        <v>4.3879999999999999</v>
      </c>
      <c r="M200" s="1"/>
      <c r="N200" s="1"/>
      <c r="O200" s="5" t="s">
        <v>356</v>
      </c>
      <c r="P200" s="1"/>
      <c r="Q200" s="1"/>
    </row>
    <row r="201" spans="1:17" x14ac:dyDescent="0.25">
      <c r="A201" s="1"/>
      <c r="B201" s="1"/>
      <c r="C201" s="2" t="s">
        <v>329</v>
      </c>
      <c r="D201" s="1" t="s">
        <v>21</v>
      </c>
      <c r="E201" s="3" t="s">
        <v>273</v>
      </c>
      <c r="F201" s="37" t="s">
        <v>322</v>
      </c>
      <c r="G201" s="44">
        <v>46035</v>
      </c>
      <c r="H201" s="3" t="s">
        <v>27</v>
      </c>
      <c r="I201" s="44">
        <v>46170</v>
      </c>
      <c r="J201" s="3">
        <v>46167</v>
      </c>
      <c r="K201" s="11"/>
      <c r="L201" s="46">
        <v>34.313000000000002</v>
      </c>
      <c r="M201" s="1"/>
      <c r="N201" s="1"/>
      <c r="O201" s="5" t="s">
        <v>356</v>
      </c>
      <c r="P201" s="1"/>
      <c r="Q201" s="1"/>
    </row>
    <row r="202" spans="1:17" x14ac:dyDescent="0.25">
      <c r="A202" s="1"/>
      <c r="B202" s="1"/>
      <c r="C202" s="2" t="s">
        <v>329</v>
      </c>
      <c r="D202" s="1" t="s">
        <v>21</v>
      </c>
      <c r="E202" s="3" t="s">
        <v>275</v>
      </c>
      <c r="F202" s="37" t="s">
        <v>323</v>
      </c>
      <c r="G202" s="44">
        <v>46035</v>
      </c>
      <c r="H202" s="3" t="s">
        <v>27</v>
      </c>
      <c r="I202" s="44">
        <v>46170</v>
      </c>
      <c r="J202" s="3">
        <v>46174</v>
      </c>
      <c r="K202" s="11"/>
      <c r="L202" s="46">
        <v>4.3879999999999999</v>
      </c>
      <c r="M202" s="1"/>
      <c r="N202" s="1"/>
      <c r="O202" s="5" t="s">
        <v>356</v>
      </c>
      <c r="P202" s="1"/>
      <c r="Q202" s="1"/>
    </row>
    <row r="203" spans="1:17" x14ac:dyDescent="0.25">
      <c r="A203" s="1"/>
      <c r="B203" s="1"/>
      <c r="C203" s="2" t="s">
        <v>329</v>
      </c>
      <c r="D203" s="1" t="s">
        <v>21</v>
      </c>
      <c r="E203" s="3" t="s">
        <v>277</v>
      </c>
      <c r="F203" s="37" t="s">
        <v>324</v>
      </c>
      <c r="G203" s="44">
        <v>46035</v>
      </c>
      <c r="H203" s="3" t="s">
        <v>27</v>
      </c>
      <c r="I203" s="44">
        <v>46170</v>
      </c>
      <c r="J203" s="3">
        <v>46176</v>
      </c>
      <c r="K203" s="11"/>
      <c r="L203" s="46">
        <v>34.313000000000002</v>
      </c>
      <c r="M203" s="1"/>
      <c r="N203" s="1"/>
      <c r="O203" s="5" t="s">
        <v>356</v>
      </c>
      <c r="P203" s="1"/>
      <c r="Q203" s="1"/>
    </row>
    <row r="204" spans="1:17" x14ac:dyDescent="0.25">
      <c r="A204" s="1"/>
      <c r="B204" s="1"/>
      <c r="C204" s="2" t="s">
        <v>329</v>
      </c>
      <c r="D204" s="1" t="s">
        <v>21</v>
      </c>
      <c r="E204" s="3" t="s">
        <v>279</v>
      </c>
      <c r="F204" s="37" t="s">
        <v>325</v>
      </c>
      <c r="G204" s="44">
        <v>46035</v>
      </c>
      <c r="H204" s="3" t="s">
        <v>27</v>
      </c>
      <c r="I204" s="44">
        <v>46170</v>
      </c>
      <c r="J204" s="3">
        <v>46181</v>
      </c>
      <c r="K204" s="11"/>
      <c r="L204" s="46">
        <v>4.3879999999999999</v>
      </c>
      <c r="M204" s="1"/>
      <c r="N204" s="1"/>
      <c r="O204" s="5" t="s">
        <v>356</v>
      </c>
      <c r="P204" s="1"/>
      <c r="Q204" s="1"/>
    </row>
    <row r="205" spans="1:17" x14ac:dyDescent="0.25">
      <c r="A205" s="1"/>
      <c r="B205" s="1"/>
      <c r="C205" s="2" t="s">
        <v>329</v>
      </c>
      <c r="D205" s="1" t="s">
        <v>21</v>
      </c>
      <c r="E205" s="3" t="s">
        <v>198</v>
      </c>
      <c r="F205" s="37" t="s">
        <v>326</v>
      </c>
      <c r="G205" s="44">
        <v>46035</v>
      </c>
      <c r="H205" s="3" t="s">
        <v>27</v>
      </c>
      <c r="I205" s="44">
        <v>46176</v>
      </c>
      <c r="J205" s="3">
        <v>46183</v>
      </c>
      <c r="K205" s="11"/>
      <c r="L205" s="46"/>
      <c r="M205" s="1"/>
      <c r="N205" s="1"/>
      <c r="O205" s="5" t="s">
        <v>356</v>
      </c>
      <c r="P205" s="1"/>
      <c r="Q205" s="1"/>
    </row>
    <row r="206" spans="1:17" x14ac:dyDescent="0.25">
      <c r="A206" s="1"/>
      <c r="B206" s="1"/>
      <c r="C206" s="2" t="s">
        <v>329</v>
      </c>
      <c r="D206" s="1" t="s">
        <v>21</v>
      </c>
      <c r="E206" s="3" t="s">
        <v>200</v>
      </c>
      <c r="F206" s="37" t="s">
        <v>327</v>
      </c>
      <c r="G206" s="44">
        <v>46035</v>
      </c>
      <c r="H206" s="3" t="s">
        <v>27</v>
      </c>
      <c r="I206" s="44">
        <v>46178</v>
      </c>
      <c r="J206" s="3">
        <v>46188</v>
      </c>
      <c r="K206" s="11"/>
      <c r="L206" s="46"/>
      <c r="M206" s="1"/>
      <c r="N206" s="1"/>
      <c r="O206" s="5" t="s">
        <v>356</v>
      </c>
      <c r="P206" s="1"/>
      <c r="Q206" s="1"/>
    </row>
    <row r="207" spans="1:17" x14ac:dyDescent="0.25">
      <c r="A207" s="1"/>
      <c r="B207" s="1"/>
      <c r="C207" s="2" t="s">
        <v>329</v>
      </c>
      <c r="D207" s="1" t="s">
        <v>21</v>
      </c>
      <c r="E207" s="3" t="s">
        <v>202</v>
      </c>
      <c r="F207" s="37" t="s">
        <v>328</v>
      </c>
      <c r="G207" s="44">
        <v>46035</v>
      </c>
      <c r="H207" s="3" t="s">
        <v>22</v>
      </c>
      <c r="I207" s="44"/>
      <c r="J207" s="3">
        <v>46190</v>
      </c>
      <c r="K207" s="11"/>
      <c r="L207" s="46"/>
      <c r="M207" s="1"/>
      <c r="N207" s="1"/>
      <c r="O207" s="5" t="s">
        <v>356</v>
      </c>
      <c r="P207" s="1"/>
      <c r="Q207" s="1"/>
    </row>
    <row r="208" spans="1:17" x14ac:dyDescent="0.25">
      <c r="A208" s="7"/>
      <c r="B208" s="7"/>
      <c r="C208" s="6"/>
      <c r="D208" s="7"/>
      <c r="E208" s="38"/>
      <c r="F208" s="38"/>
      <c r="G208" s="8"/>
      <c r="H208" s="39"/>
      <c r="I208" s="8"/>
      <c r="J208" s="9"/>
      <c r="K208" s="10"/>
      <c r="L208" s="7"/>
      <c r="M208" s="7"/>
      <c r="N208" s="7"/>
      <c r="O208" s="7"/>
      <c r="P208" s="7"/>
      <c r="Q208" s="7"/>
    </row>
    <row r="209" spans="1:17" x14ac:dyDescent="0.25">
      <c r="A209" s="1">
        <v>6</v>
      </c>
      <c r="B209" s="1"/>
      <c r="C209" s="2" t="s">
        <v>418</v>
      </c>
      <c r="D209" s="1" t="s">
        <v>332</v>
      </c>
      <c r="E209" s="2"/>
      <c r="F209" s="40" t="s">
        <v>657</v>
      </c>
      <c r="G209" s="44">
        <v>46139</v>
      </c>
      <c r="H209" s="3" t="s">
        <v>27</v>
      </c>
      <c r="I209" s="3">
        <v>46171</v>
      </c>
      <c r="J209" s="3">
        <v>46162</v>
      </c>
      <c r="K209" s="11"/>
      <c r="L209" s="11"/>
      <c r="M209" s="1"/>
      <c r="N209" s="1"/>
      <c r="O209" s="5"/>
      <c r="P209" s="1"/>
      <c r="Q209" s="1"/>
    </row>
    <row r="210" spans="1:17" x14ac:dyDescent="0.25">
      <c r="A210" s="1"/>
      <c r="B210" s="1"/>
      <c r="C210" s="2" t="s">
        <v>418</v>
      </c>
      <c r="D210" s="1" t="s">
        <v>332</v>
      </c>
      <c r="E210" s="2"/>
      <c r="F210" s="40" t="s">
        <v>671</v>
      </c>
      <c r="G210" s="44">
        <v>46139</v>
      </c>
      <c r="H210" s="3" t="s">
        <v>27</v>
      </c>
      <c r="I210" s="3">
        <v>46171</v>
      </c>
      <c r="J210" s="3">
        <v>46162</v>
      </c>
      <c r="K210" s="11"/>
      <c r="L210" s="11"/>
      <c r="M210" s="1"/>
      <c r="N210" s="1"/>
      <c r="O210" s="5"/>
      <c r="P210" s="1"/>
      <c r="Q210" s="1"/>
    </row>
    <row r="211" spans="1:17" x14ac:dyDescent="0.25">
      <c r="A211" s="1"/>
      <c r="B211" s="1"/>
      <c r="C211" s="2" t="s">
        <v>418</v>
      </c>
      <c r="D211" s="1" t="s">
        <v>332</v>
      </c>
      <c r="E211" s="2"/>
      <c r="F211" s="40" t="s">
        <v>643</v>
      </c>
      <c r="G211" s="44">
        <v>46139</v>
      </c>
      <c r="H211" s="3" t="s">
        <v>27</v>
      </c>
      <c r="I211" s="3">
        <v>46171</v>
      </c>
      <c r="J211" s="3">
        <v>46162</v>
      </c>
      <c r="K211" s="11"/>
      <c r="L211" s="11"/>
      <c r="M211" s="1"/>
      <c r="N211" s="1"/>
      <c r="O211" s="5"/>
      <c r="P211" s="1"/>
      <c r="Q211" s="1"/>
    </row>
    <row r="212" spans="1:17" x14ac:dyDescent="0.25">
      <c r="A212" s="1"/>
      <c r="B212" s="1"/>
      <c r="C212" s="2" t="s">
        <v>418</v>
      </c>
      <c r="D212" s="1" t="s">
        <v>332</v>
      </c>
      <c r="E212" s="2"/>
      <c r="F212" s="40" t="s">
        <v>690</v>
      </c>
      <c r="G212" s="44">
        <v>46139</v>
      </c>
      <c r="H212" s="3" t="s">
        <v>27</v>
      </c>
      <c r="I212" s="3">
        <v>46171</v>
      </c>
      <c r="J212" s="3">
        <v>46162</v>
      </c>
      <c r="K212" s="11"/>
      <c r="L212" s="11"/>
      <c r="M212" s="1"/>
      <c r="N212" s="1"/>
      <c r="O212" s="5"/>
      <c r="P212" s="1"/>
      <c r="Q212" s="1"/>
    </row>
    <row r="213" spans="1:17" x14ac:dyDescent="0.25">
      <c r="A213" s="1"/>
      <c r="B213" s="1"/>
      <c r="C213" s="2" t="s">
        <v>418</v>
      </c>
      <c r="D213" s="1" t="s">
        <v>332</v>
      </c>
      <c r="E213" s="2"/>
      <c r="F213" s="40" t="s">
        <v>691</v>
      </c>
      <c r="G213" s="44">
        <v>46139</v>
      </c>
      <c r="H213" s="3" t="s">
        <v>27</v>
      </c>
      <c r="I213" s="3">
        <v>46171</v>
      </c>
      <c r="J213" s="3">
        <v>46162</v>
      </c>
      <c r="K213" s="11"/>
      <c r="L213" s="11"/>
      <c r="M213" s="1"/>
      <c r="N213" s="1"/>
      <c r="O213" s="5"/>
      <c r="P213" s="1"/>
      <c r="Q213" s="1"/>
    </row>
    <row r="214" spans="1:17" x14ac:dyDescent="0.25">
      <c r="A214" s="1"/>
      <c r="B214" s="1"/>
      <c r="C214" s="2" t="s">
        <v>418</v>
      </c>
      <c r="D214" s="1" t="s">
        <v>332</v>
      </c>
      <c r="E214" s="2"/>
      <c r="F214" s="40" t="s">
        <v>425</v>
      </c>
      <c r="G214" s="44">
        <v>46139</v>
      </c>
      <c r="H214" s="3" t="s">
        <v>27</v>
      </c>
      <c r="I214" s="3">
        <v>46171</v>
      </c>
      <c r="J214" s="3">
        <v>46162</v>
      </c>
      <c r="K214" s="11"/>
      <c r="L214" s="11"/>
      <c r="M214" s="1"/>
      <c r="N214" s="1"/>
      <c r="O214" s="5"/>
      <c r="P214" s="1"/>
      <c r="Q214" s="1"/>
    </row>
    <row r="215" spans="1:17" x14ac:dyDescent="0.25">
      <c r="A215" s="1"/>
      <c r="B215" s="1"/>
      <c r="C215" s="2" t="s">
        <v>418</v>
      </c>
      <c r="D215" s="1" t="s">
        <v>21</v>
      </c>
      <c r="E215" s="2"/>
      <c r="F215" s="40" t="s">
        <v>478</v>
      </c>
      <c r="G215" s="44">
        <v>46139</v>
      </c>
      <c r="H215" s="3" t="s">
        <v>27</v>
      </c>
      <c r="I215" s="3">
        <v>46174</v>
      </c>
      <c r="J215" s="3"/>
      <c r="K215" s="11"/>
      <c r="L215" s="11">
        <v>4.1710000000000003</v>
      </c>
      <c r="M215" s="1"/>
      <c r="N215" s="1"/>
      <c r="O215" s="5" t="s">
        <v>693</v>
      </c>
      <c r="P215" s="1"/>
      <c r="Q215" s="1"/>
    </row>
    <row r="216" spans="1:17" x14ac:dyDescent="0.25">
      <c r="A216" s="1"/>
      <c r="B216" s="1"/>
      <c r="C216" s="2" t="s">
        <v>418</v>
      </c>
      <c r="D216" s="1" t="s">
        <v>21</v>
      </c>
      <c r="E216" s="2"/>
      <c r="F216" s="40" t="s">
        <v>479</v>
      </c>
      <c r="G216" s="44">
        <v>46139</v>
      </c>
      <c r="H216" s="3" t="s">
        <v>102</v>
      </c>
      <c r="I216" s="3"/>
      <c r="J216" s="3"/>
      <c r="K216" s="11"/>
      <c r="L216" s="11"/>
      <c r="M216" s="1"/>
      <c r="N216" s="1"/>
      <c r="O216" s="5"/>
      <c r="P216" s="1"/>
      <c r="Q216" s="1"/>
    </row>
    <row r="217" spans="1:17" x14ac:dyDescent="0.25">
      <c r="A217" s="1"/>
      <c r="B217" s="1"/>
      <c r="C217" s="2" t="s">
        <v>418</v>
      </c>
      <c r="D217" s="1" t="s">
        <v>21</v>
      </c>
      <c r="E217" s="2"/>
      <c r="F217" s="40" t="s">
        <v>480</v>
      </c>
      <c r="G217" s="44">
        <v>46139</v>
      </c>
      <c r="H217" s="3" t="s">
        <v>102</v>
      </c>
      <c r="I217" s="3"/>
      <c r="J217" s="3"/>
      <c r="K217" s="11"/>
      <c r="L217" s="11"/>
      <c r="M217" s="1"/>
      <c r="N217" s="1"/>
      <c r="O217" s="5"/>
      <c r="P217" s="1"/>
      <c r="Q217" s="1"/>
    </row>
    <row r="218" spans="1:17" x14ac:dyDescent="0.25">
      <c r="A218" s="1"/>
      <c r="B218" s="1"/>
      <c r="C218" s="2" t="s">
        <v>418</v>
      </c>
      <c r="D218" s="1" t="s">
        <v>21</v>
      </c>
      <c r="E218" s="2"/>
      <c r="F218" s="40" t="s">
        <v>482</v>
      </c>
      <c r="G218" s="44">
        <v>46139</v>
      </c>
      <c r="H218" s="3" t="s">
        <v>102</v>
      </c>
      <c r="I218" s="3"/>
      <c r="J218" s="3"/>
      <c r="K218" s="11"/>
      <c r="L218" s="11"/>
      <c r="M218" s="1"/>
      <c r="N218" s="1"/>
      <c r="O218" s="5"/>
      <c r="P218" s="1"/>
      <c r="Q218" s="1"/>
    </row>
    <row r="219" spans="1:17" x14ac:dyDescent="0.25">
      <c r="A219" s="1"/>
      <c r="B219" s="1"/>
      <c r="C219" s="2" t="s">
        <v>418</v>
      </c>
      <c r="D219" s="1" t="s">
        <v>21</v>
      </c>
      <c r="E219" s="2"/>
      <c r="F219" s="40" t="s">
        <v>481</v>
      </c>
      <c r="G219" s="44">
        <v>46139</v>
      </c>
      <c r="H219" s="3" t="s">
        <v>102</v>
      </c>
      <c r="I219" s="3"/>
      <c r="J219" s="3"/>
      <c r="K219" s="11"/>
      <c r="L219" s="11"/>
      <c r="M219" s="1"/>
      <c r="N219" s="1"/>
      <c r="O219" s="5"/>
      <c r="P219" s="1"/>
      <c r="Q219" s="1"/>
    </row>
    <row r="220" spans="1:17" x14ac:dyDescent="0.25">
      <c r="A220" s="1"/>
      <c r="B220" s="1"/>
      <c r="C220" s="2" t="s">
        <v>418</v>
      </c>
      <c r="D220" s="1" t="s">
        <v>21</v>
      </c>
      <c r="E220" s="2"/>
      <c r="F220" s="40" t="s">
        <v>630</v>
      </c>
      <c r="G220" s="44">
        <v>46139</v>
      </c>
      <c r="H220" s="3" t="s">
        <v>102</v>
      </c>
      <c r="I220" s="3"/>
      <c r="J220" s="3"/>
      <c r="K220" s="11"/>
      <c r="L220" s="11"/>
      <c r="M220" s="1"/>
      <c r="N220" s="1"/>
      <c r="O220" s="5"/>
      <c r="P220" s="1"/>
      <c r="Q220" s="1"/>
    </row>
    <row r="221" spans="1:17" x14ac:dyDescent="0.25">
      <c r="A221" s="1"/>
      <c r="B221" s="1"/>
      <c r="C221" s="2" t="s">
        <v>418</v>
      </c>
      <c r="D221" s="1" t="s">
        <v>21</v>
      </c>
      <c r="E221" s="2"/>
      <c r="F221" s="40" t="s">
        <v>631</v>
      </c>
      <c r="G221" s="44">
        <v>46139</v>
      </c>
      <c r="H221" s="3" t="s">
        <v>102</v>
      </c>
      <c r="I221" s="3"/>
      <c r="J221" s="3"/>
      <c r="K221" s="11"/>
      <c r="L221" s="11"/>
      <c r="M221" s="1"/>
      <c r="N221" s="1"/>
      <c r="O221" s="5"/>
      <c r="P221" s="1"/>
      <c r="Q221" s="1"/>
    </row>
    <row r="222" spans="1:17" x14ac:dyDescent="0.25">
      <c r="A222" s="1"/>
      <c r="B222" s="1"/>
      <c r="C222" s="2" t="s">
        <v>418</v>
      </c>
      <c r="D222" s="1" t="s">
        <v>21</v>
      </c>
      <c r="E222" s="2"/>
      <c r="F222" s="40" t="s">
        <v>632</v>
      </c>
      <c r="G222" s="44">
        <v>46139</v>
      </c>
      <c r="H222" s="3" t="s">
        <v>102</v>
      </c>
      <c r="I222" s="3"/>
      <c r="J222" s="3"/>
      <c r="K222" s="11"/>
      <c r="L222" s="11"/>
      <c r="M222" s="1"/>
      <c r="N222" s="1"/>
      <c r="O222" s="5"/>
      <c r="P222" s="1"/>
      <c r="Q222" s="1"/>
    </row>
    <row r="223" spans="1:17" x14ac:dyDescent="0.25">
      <c r="A223" s="1"/>
      <c r="B223" s="1"/>
      <c r="C223" s="2" t="s">
        <v>418</v>
      </c>
      <c r="D223" s="1" t="s">
        <v>21</v>
      </c>
      <c r="E223" s="2"/>
      <c r="F223" s="40" t="s">
        <v>633</v>
      </c>
      <c r="G223" s="44">
        <v>46139</v>
      </c>
      <c r="H223" s="3" t="s">
        <v>102</v>
      </c>
      <c r="I223" s="3"/>
      <c r="J223" s="3"/>
      <c r="K223" s="11"/>
      <c r="L223" s="11"/>
      <c r="M223" s="1"/>
      <c r="N223" s="1"/>
      <c r="O223" s="5"/>
      <c r="P223" s="1"/>
      <c r="Q223" s="1"/>
    </row>
    <row r="224" spans="1:17" x14ac:dyDescent="0.25">
      <c r="A224" s="1"/>
      <c r="B224" s="1"/>
      <c r="C224" s="2" t="s">
        <v>418</v>
      </c>
      <c r="D224" s="1" t="s">
        <v>21</v>
      </c>
      <c r="E224" s="2"/>
      <c r="F224" s="40" t="s">
        <v>634</v>
      </c>
      <c r="G224" s="44">
        <v>46139</v>
      </c>
      <c r="H224" s="3" t="s">
        <v>102</v>
      </c>
      <c r="I224" s="3"/>
      <c r="J224" s="3"/>
      <c r="K224" s="11"/>
      <c r="L224" s="11"/>
      <c r="M224" s="1"/>
      <c r="N224" s="1"/>
      <c r="O224" s="5"/>
      <c r="P224" s="1"/>
      <c r="Q224" s="1"/>
    </row>
    <row r="225" spans="1:17" x14ac:dyDescent="0.25">
      <c r="A225" s="1"/>
      <c r="B225" s="1"/>
      <c r="C225" s="2" t="s">
        <v>418</v>
      </c>
      <c r="D225" s="1" t="s">
        <v>21</v>
      </c>
      <c r="E225" s="2"/>
      <c r="F225" s="40" t="s">
        <v>635</v>
      </c>
      <c r="G225" s="44">
        <v>46139</v>
      </c>
      <c r="H225" s="3" t="s">
        <v>102</v>
      </c>
      <c r="I225" s="3"/>
      <c r="J225" s="3"/>
      <c r="K225" s="11"/>
      <c r="L225" s="11"/>
      <c r="M225" s="1"/>
      <c r="N225" s="1"/>
      <c r="O225" s="5"/>
      <c r="P225" s="1"/>
      <c r="Q225" s="1"/>
    </row>
    <row r="226" spans="1:17" x14ac:dyDescent="0.25">
      <c r="A226" s="1"/>
      <c r="B226" s="1"/>
      <c r="C226" s="2" t="s">
        <v>418</v>
      </c>
      <c r="D226" s="1" t="s">
        <v>21</v>
      </c>
      <c r="E226" s="2"/>
      <c r="F226" s="40" t="s">
        <v>636</v>
      </c>
      <c r="G226" s="44">
        <v>46139</v>
      </c>
      <c r="H226" s="3" t="s">
        <v>102</v>
      </c>
      <c r="I226" s="3"/>
      <c r="J226" s="3"/>
      <c r="K226" s="11"/>
      <c r="L226" s="11"/>
      <c r="M226" s="1"/>
      <c r="N226" s="1"/>
      <c r="O226" s="5"/>
      <c r="P226" s="1"/>
      <c r="Q226" s="1"/>
    </row>
    <row r="227" spans="1:17" x14ac:dyDescent="0.25">
      <c r="A227" s="1"/>
      <c r="B227" s="1"/>
      <c r="C227" s="2" t="s">
        <v>418</v>
      </c>
      <c r="D227" s="1" t="s">
        <v>21</v>
      </c>
      <c r="E227" s="2"/>
      <c r="F227" s="40" t="s">
        <v>637</v>
      </c>
      <c r="G227" s="44">
        <v>46139</v>
      </c>
      <c r="H227" s="3" t="s">
        <v>102</v>
      </c>
      <c r="I227" s="3"/>
      <c r="J227" s="3"/>
      <c r="K227" s="11"/>
      <c r="L227" s="11"/>
      <c r="M227" s="1"/>
      <c r="N227" s="1"/>
      <c r="O227" s="5"/>
      <c r="P227" s="1"/>
      <c r="Q227" s="1"/>
    </row>
    <row r="228" spans="1:17" x14ac:dyDescent="0.25">
      <c r="A228" s="1"/>
      <c r="B228" s="1"/>
      <c r="C228" s="2" t="s">
        <v>418</v>
      </c>
      <c r="D228" s="1" t="s">
        <v>21</v>
      </c>
      <c r="E228" s="2"/>
      <c r="F228" s="40" t="s">
        <v>638</v>
      </c>
      <c r="G228" s="44">
        <v>46139</v>
      </c>
      <c r="H228" s="3" t="s">
        <v>102</v>
      </c>
      <c r="I228" s="3"/>
      <c r="J228" s="3"/>
      <c r="K228" s="11"/>
      <c r="L228" s="11"/>
      <c r="M228" s="1"/>
      <c r="N228" s="1"/>
      <c r="O228" s="5"/>
      <c r="P228" s="1"/>
      <c r="Q228" s="1"/>
    </row>
    <row r="229" spans="1:17" x14ac:dyDescent="0.25">
      <c r="A229" s="1"/>
      <c r="B229" s="1"/>
      <c r="C229" s="2" t="s">
        <v>418</v>
      </c>
      <c r="D229" s="1" t="s">
        <v>21</v>
      </c>
      <c r="E229" s="2"/>
      <c r="F229" s="40" t="s">
        <v>639</v>
      </c>
      <c r="G229" s="44">
        <v>46139</v>
      </c>
      <c r="H229" s="3" t="s">
        <v>102</v>
      </c>
      <c r="I229" s="3"/>
      <c r="J229" s="3"/>
      <c r="K229" s="11"/>
      <c r="L229" s="11"/>
      <c r="M229" s="1"/>
      <c r="N229" s="1"/>
      <c r="O229" s="5"/>
      <c r="P229" s="1"/>
      <c r="Q229" s="1"/>
    </row>
    <row r="230" spans="1:17" x14ac:dyDescent="0.25">
      <c r="A230" s="1"/>
      <c r="B230" s="1"/>
      <c r="C230" s="2" t="s">
        <v>418</v>
      </c>
      <c r="D230" s="1" t="s">
        <v>21</v>
      </c>
      <c r="E230" s="2"/>
      <c r="F230" s="40" t="s">
        <v>640</v>
      </c>
      <c r="G230" s="44">
        <v>46139</v>
      </c>
      <c r="H230" s="3" t="s">
        <v>102</v>
      </c>
      <c r="I230" s="3"/>
      <c r="J230" s="3"/>
      <c r="K230" s="11"/>
      <c r="L230" s="11"/>
      <c r="M230" s="1"/>
      <c r="N230" s="1"/>
      <c r="O230" s="5"/>
      <c r="P230" s="1"/>
      <c r="Q230" s="1"/>
    </row>
    <row r="231" spans="1:17" x14ac:dyDescent="0.25">
      <c r="A231" s="1"/>
      <c r="B231" s="1"/>
      <c r="C231" s="2" t="s">
        <v>418</v>
      </c>
      <c r="D231" s="1" t="s">
        <v>21</v>
      </c>
      <c r="E231" s="2"/>
      <c r="F231" s="40" t="s">
        <v>641</v>
      </c>
      <c r="G231" s="44">
        <v>46139</v>
      </c>
      <c r="H231" s="3" t="s">
        <v>102</v>
      </c>
      <c r="I231" s="3"/>
      <c r="J231" s="3"/>
      <c r="K231" s="11"/>
      <c r="L231" s="11"/>
      <c r="M231" s="1"/>
      <c r="N231" s="1"/>
      <c r="O231" s="5"/>
      <c r="P231" s="1"/>
      <c r="Q231" s="1"/>
    </row>
    <row r="232" spans="1:17" x14ac:dyDescent="0.25">
      <c r="A232" s="1"/>
      <c r="B232" s="1"/>
      <c r="C232" s="2" t="s">
        <v>418</v>
      </c>
      <c r="D232" s="1" t="s">
        <v>21</v>
      </c>
      <c r="E232" s="2"/>
      <c r="F232" s="40" t="s">
        <v>642</v>
      </c>
      <c r="G232" s="44">
        <v>46139</v>
      </c>
      <c r="H232" s="3" t="s">
        <v>102</v>
      </c>
      <c r="I232" s="3"/>
      <c r="J232" s="3"/>
      <c r="K232" s="11"/>
      <c r="L232" s="11"/>
      <c r="M232" s="1"/>
      <c r="N232" s="1"/>
      <c r="O232" s="5"/>
      <c r="P232" s="1"/>
      <c r="Q232" s="1"/>
    </row>
    <row r="233" spans="1:17" x14ac:dyDescent="0.25">
      <c r="A233" s="1"/>
      <c r="B233" s="1"/>
      <c r="C233" s="2" t="s">
        <v>418</v>
      </c>
      <c r="D233" s="1" t="s">
        <v>21</v>
      </c>
      <c r="E233" s="2"/>
      <c r="F233" s="40" t="s">
        <v>656</v>
      </c>
      <c r="G233" s="44">
        <v>46139</v>
      </c>
      <c r="H233" s="3" t="s">
        <v>102</v>
      </c>
      <c r="I233" s="3"/>
      <c r="J233" s="3"/>
      <c r="K233" s="11">
        <v>700</v>
      </c>
      <c r="L233" s="11"/>
      <c r="M233" s="1"/>
      <c r="N233" s="1"/>
      <c r="O233" s="5"/>
      <c r="P233" s="1"/>
      <c r="Q233" s="1"/>
    </row>
    <row r="234" spans="1:17" x14ac:dyDescent="0.25">
      <c r="A234" s="1"/>
      <c r="B234" s="1"/>
      <c r="C234" s="2" t="s">
        <v>418</v>
      </c>
      <c r="D234" s="1" t="s">
        <v>21</v>
      </c>
      <c r="E234" s="2"/>
      <c r="F234" s="40" t="s">
        <v>644</v>
      </c>
      <c r="G234" s="44">
        <v>46139</v>
      </c>
      <c r="H234" s="3" t="s">
        <v>102</v>
      </c>
      <c r="I234" s="3"/>
      <c r="J234" s="3"/>
      <c r="K234" s="11"/>
      <c r="L234" s="11"/>
      <c r="M234" s="1"/>
      <c r="N234" s="1"/>
      <c r="O234" s="5"/>
      <c r="P234" s="1"/>
      <c r="Q234" s="1"/>
    </row>
    <row r="235" spans="1:17" x14ac:dyDescent="0.25">
      <c r="A235" s="1"/>
      <c r="B235" s="1"/>
      <c r="C235" s="2" t="s">
        <v>418</v>
      </c>
      <c r="D235" s="1" t="s">
        <v>21</v>
      </c>
      <c r="E235" s="2"/>
      <c r="F235" s="40" t="s">
        <v>645</v>
      </c>
      <c r="G235" s="44">
        <v>46139</v>
      </c>
      <c r="H235" s="3" t="s">
        <v>102</v>
      </c>
      <c r="I235" s="3"/>
      <c r="J235" s="3"/>
      <c r="K235" s="11"/>
      <c r="L235" s="11"/>
      <c r="M235" s="1"/>
      <c r="N235" s="1"/>
      <c r="O235" s="5"/>
      <c r="P235" s="1"/>
      <c r="Q235" s="1"/>
    </row>
    <row r="236" spans="1:17" x14ac:dyDescent="0.25">
      <c r="A236" s="1"/>
      <c r="B236" s="1"/>
      <c r="C236" s="2" t="s">
        <v>418</v>
      </c>
      <c r="D236" s="1" t="s">
        <v>21</v>
      </c>
      <c r="E236" s="2"/>
      <c r="F236" s="40" t="s">
        <v>646</v>
      </c>
      <c r="G236" s="44">
        <v>46139</v>
      </c>
      <c r="H236" s="3" t="s">
        <v>102</v>
      </c>
      <c r="I236" s="3"/>
      <c r="J236" s="3"/>
      <c r="K236" s="11"/>
      <c r="L236" s="11"/>
      <c r="M236" s="1"/>
      <c r="N236" s="1"/>
      <c r="O236" s="5"/>
      <c r="P236" s="1"/>
      <c r="Q236" s="1"/>
    </row>
    <row r="237" spans="1:17" x14ac:dyDescent="0.25">
      <c r="A237" s="1"/>
      <c r="B237" s="1"/>
      <c r="C237" s="2" t="s">
        <v>418</v>
      </c>
      <c r="D237" s="1" t="s">
        <v>21</v>
      </c>
      <c r="E237" s="2"/>
      <c r="F237" s="40" t="s">
        <v>647</v>
      </c>
      <c r="G237" s="44">
        <v>46139</v>
      </c>
      <c r="H237" s="3" t="s">
        <v>102</v>
      </c>
      <c r="I237" s="3"/>
      <c r="J237" s="3"/>
      <c r="K237" s="11"/>
      <c r="L237" s="11"/>
      <c r="M237" s="1"/>
      <c r="N237" s="1"/>
      <c r="O237" s="5"/>
      <c r="P237" s="1"/>
      <c r="Q237" s="1"/>
    </row>
    <row r="238" spans="1:17" x14ac:dyDescent="0.25">
      <c r="A238" s="1"/>
      <c r="B238" s="1"/>
      <c r="C238" s="2" t="s">
        <v>418</v>
      </c>
      <c r="D238" s="1" t="s">
        <v>21</v>
      </c>
      <c r="E238" s="2"/>
      <c r="F238" s="40" t="s">
        <v>648</v>
      </c>
      <c r="G238" s="44">
        <v>46139</v>
      </c>
      <c r="H238" s="3" t="s">
        <v>102</v>
      </c>
      <c r="I238" s="3"/>
      <c r="J238" s="3"/>
      <c r="K238" s="11"/>
      <c r="L238" s="11"/>
      <c r="M238" s="1"/>
      <c r="N238" s="1"/>
      <c r="O238" s="5"/>
      <c r="P238" s="1"/>
      <c r="Q238" s="1"/>
    </row>
    <row r="239" spans="1:17" x14ac:dyDescent="0.25">
      <c r="A239" s="1"/>
      <c r="B239" s="1"/>
      <c r="C239" s="2" t="s">
        <v>418</v>
      </c>
      <c r="D239" s="1" t="s">
        <v>21</v>
      </c>
      <c r="E239" s="2"/>
      <c r="F239" s="40" t="s">
        <v>649</v>
      </c>
      <c r="G239" s="44">
        <v>46139</v>
      </c>
      <c r="H239" s="3" t="s">
        <v>102</v>
      </c>
      <c r="I239" s="3"/>
      <c r="J239" s="3"/>
      <c r="K239" s="11"/>
      <c r="L239" s="11"/>
      <c r="M239" s="1"/>
      <c r="N239" s="1"/>
      <c r="O239" s="5"/>
      <c r="P239" s="1"/>
      <c r="Q239" s="1"/>
    </row>
    <row r="240" spans="1:17" x14ac:dyDescent="0.25">
      <c r="A240" s="1"/>
      <c r="B240" s="1"/>
      <c r="C240" s="2" t="s">
        <v>418</v>
      </c>
      <c r="D240" s="1" t="s">
        <v>21</v>
      </c>
      <c r="E240" s="2"/>
      <c r="F240" s="40" t="s">
        <v>650</v>
      </c>
      <c r="G240" s="44">
        <v>46139</v>
      </c>
      <c r="H240" s="3" t="s">
        <v>102</v>
      </c>
      <c r="I240" s="3"/>
      <c r="J240" s="3"/>
      <c r="K240" s="11"/>
      <c r="L240" s="11"/>
      <c r="M240" s="1"/>
      <c r="N240" s="1"/>
      <c r="O240" s="5"/>
      <c r="P240" s="1"/>
      <c r="Q240" s="1"/>
    </row>
    <row r="241" spans="1:17" x14ac:dyDescent="0.25">
      <c r="A241" s="1"/>
      <c r="B241" s="1"/>
      <c r="C241" s="2" t="s">
        <v>418</v>
      </c>
      <c r="D241" s="1" t="s">
        <v>21</v>
      </c>
      <c r="E241" s="2"/>
      <c r="F241" s="40" t="s">
        <v>651</v>
      </c>
      <c r="G241" s="44">
        <v>46139</v>
      </c>
      <c r="H241" s="3" t="s">
        <v>102</v>
      </c>
      <c r="I241" s="3"/>
      <c r="J241" s="3"/>
      <c r="K241" s="11"/>
      <c r="L241" s="11"/>
      <c r="M241" s="1"/>
      <c r="N241" s="1"/>
      <c r="O241" s="5"/>
      <c r="P241" s="1"/>
      <c r="Q241" s="1"/>
    </row>
    <row r="242" spans="1:17" x14ac:dyDescent="0.25">
      <c r="A242" s="1"/>
      <c r="B242" s="1"/>
      <c r="C242" s="2" t="s">
        <v>418</v>
      </c>
      <c r="D242" s="1" t="s">
        <v>21</v>
      </c>
      <c r="E242" s="2"/>
      <c r="F242" s="40" t="s">
        <v>652</v>
      </c>
      <c r="G242" s="44">
        <v>46139</v>
      </c>
      <c r="H242" s="3" t="s">
        <v>102</v>
      </c>
      <c r="I242" s="3"/>
      <c r="J242" s="3"/>
      <c r="K242" s="11"/>
      <c r="L242" s="11"/>
      <c r="M242" s="1"/>
      <c r="N242" s="1"/>
      <c r="O242" s="5"/>
      <c r="P242" s="1"/>
      <c r="Q242" s="1"/>
    </row>
    <row r="243" spans="1:17" x14ac:dyDescent="0.25">
      <c r="A243" s="1"/>
      <c r="B243" s="1"/>
      <c r="C243" s="2" t="s">
        <v>418</v>
      </c>
      <c r="D243" s="1" t="s">
        <v>21</v>
      </c>
      <c r="E243" s="2"/>
      <c r="F243" s="40" t="s">
        <v>653</v>
      </c>
      <c r="G243" s="44">
        <v>46139</v>
      </c>
      <c r="H243" s="3" t="s">
        <v>102</v>
      </c>
      <c r="I243" s="3"/>
      <c r="J243" s="3"/>
      <c r="K243" s="11"/>
      <c r="L243" s="11"/>
      <c r="M243" s="1"/>
      <c r="N243" s="1"/>
      <c r="O243" s="5"/>
      <c r="P243" s="1"/>
      <c r="Q243" s="1"/>
    </row>
    <row r="244" spans="1:17" x14ac:dyDescent="0.25">
      <c r="A244" s="1"/>
      <c r="B244" s="1"/>
      <c r="C244" s="2" t="s">
        <v>418</v>
      </c>
      <c r="D244" s="1" t="s">
        <v>21</v>
      </c>
      <c r="E244" s="2"/>
      <c r="F244" s="40" t="s">
        <v>654</v>
      </c>
      <c r="G244" s="44">
        <v>46139</v>
      </c>
      <c r="H244" s="3" t="s">
        <v>102</v>
      </c>
      <c r="I244" s="3"/>
      <c r="J244" s="3"/>
      <c r="K244" s="11"/>
      <c r="L244" s="11"/>
      <c r="M244" s="1"/>
      <c r="N244" s="1"/>
      <c r="O244" s="5"/>
      <c r="P244" s="1"/>
      <c r="Q244" s="1"/>
    </row>
    <row r="245" spans="1:17" x14ac:dyDescent="0.25">
      <c r="A245" s="1"/>
      <c r="B245" s="1"/>
      <c r="C245" s="2" t="s">
        <v>418</v>
      </c>
      <c r="D245" s="1" t="s">
        <v>21</v>
      </c>
      <c r="E245" s="2"/>
      <c r="F245" s="40" t="s">
        <v>655</v>
      </c>
      <c r="G245" s="44">
        <v>46139</v>
      </c>
      <c r="H245" s="3" t="s">
        <v>102</v>
      </c>
      <c r="I245" s="3"/>
      <c r="J245" s="3"/>
      <c r="K245" s="11"/>
      <c r="L245" s="11"/>
      <c r="M245" s="1"/>
      <c r="N245" s="1"/>
      <c r="O245" s="5"/>
      <c r="P245" s="1"/>
      <c r="Q245" s="1"/>
    </row>
    <row r="246" spans="1:17" x14ac:dyDescent="0.25">
      <c r="A246" s="1"/>
      <c r="B246" s="1"/>
      <c r="C246" s="2" t="s">
        <v>418</v>
      </c>
      <c r="D246" s="1" t="s">
        <v>21</v>
      </c>
      <c r="E246" s="2"/>
      <c r="F246" s="40" t="s">
        <v>670</v>
      </c>
      <c r="G246" s="44">
        <v>46139</v>
      </c>
      <c r="H246" s="3" t="s">
        <v>102</v>
      </c>
      <c r="I246" s="3"/>
      <c r="J246" s="3"/>
      <c r="K246" s="11"/>
      <c r="L246" s="11"/>
      <c r="M246" s="1"/>
      <c r="N246" s="1"/>
      <c r="O246" s="5"/>
      <c r="P246" s="1"/>
      <c r="Q246" s="1"/>
    </row>
    <row r="247" spans="1:17" x14ac:dyDescent="0.25">
      <c r="A247" s="1"/>
      <c r="B247" s="1"/>
      <c r="C247" s="2" t="s">
        <v>418</v>
      </c>
      <c r="D247" s="1" t="s">
        <v>21</v>
      </c>
      <c r="E247" s="2"/>
      <c r="F247" s="40" t="s">
        <v>658</v>
      </c>
      <c r="G247" s="44">
        <v>46139</v>
      </c>
      <c r="H247" s="3" t="s">
        <v>102</v>
      </c>
      <c r="I247" s="3"/>
      <c r="J247" s="3"/>
      <c r="K247" s="11"/>
      <c r="L247" s="11"/>
      <c r="M247" s="1"/>
      <c r="N247" s="1"/>
      <c r="O247" s="5"/>
      <c r="P247" s="1"/>
      <c r="Q247" s="1"/>
    </row>
    <row r="248" spans="1:17" x14ac:dyDescent="0.25">
      <c r="A248" s="1"/>
      <c r="B248" s="1"/>
      <c r="C248" s="2" t="s">
        <v>418</v>
      </c>
      <c r="D248" s="1" t="s">
        <v>21</v>
      </c>
      <c r="E248" s="2"/>
      <c r="F248" s="40" t="s">
        <v>659</v>
      </c>
      <c r="G248" s="44">
        <v>46139</v>
      </c>
      <c r="H248" s="3" t="s">
        <v>102</v>
      </c>
      <c r="I248" s="3"/>
      <c r="J248" s="3"/>
      <c r="K248" s="11"/>
      <c r="L248" s="11"/>
      <c r="M248" s="1"/>
      <c r="N248" s="1"/>
      <c r="O248" s="5"/>
      <c r="P248" s="1"/>
      <c r="Q248" s="1"/>
    </row>
    <row r="249" spans="1:17" x14ac:dyDescent="0.25">
      <c r="A249" s="1"/>
      <c r="B249" s="1"/>
      <c r="C249" s="2" t="s">
        <v>418</v>
      </c>
      <c r="D249" s="1" t="s">
        <v>21</v>
      </c>
      <c r="E249" s="2"/>
      <c r="F249" s="40" t="s">
        <v>660</v>
      </c>
      <c r="G249" s="44">
        <v>46139</v>
      </c>
      <c r="H249" s="3" t="s">
        <v>102</v>
      </c>
      <c r="I249" s="3"/>
      <c r="J249" s="3"/>
      <c r="K249" s="11"/>
      <c r="L249" s="11"/>
      <c r="M249" s="1"/>
      <c r="N249" s="1"/>
      <c r="O249" s="5"/>
      <c r="P249" s="1"/>
      <c r="Q249" s="1"/>
    </row>
    <row r="250" spans="1:17" x14ac:dyDescent="0.25">
      <c r="A250" s="1"/>
      <c r="B250" s="1"/>
      <c r="C250" s="2" t="s">
        <v>418</v>
      </c>
      <c r="D250" s="1" t="s">
        <v>21</v>
      </c>
      <c r="E250" s="2"/>
      <c r="F250" s="40" t="s">
        <v>661</v>
      </c>
      <c r="G250" s="44">
        <v>46139</v>
      </c>
      <c r="H250" s="3" t="s">
        <v>102</v>
      </c>
      <c r="I250" s="3"/>
      <c r="J250" s="3"/>
      <c r="K250" s="11"/>
      <c r="L250" s="11"/>
      <c r="M250" s="1"/>
      <c r="N250" s="1"/>
      <c r="O250" s="5"/>
      <c r="P250" s="1"/>
      <c r="Q250" s="1"/>
    </row>
    <row r="251" spans="1:17" x14ac:dyDescent="0.25">
      <c r="A251" s="1"/>
      <c r="B251" s="1"/>
      <c r="C251" s="2" t="s">
        <v>418</v>
      </c>
      <c r="D251" s="1" t="s">
        <v>21</v>
      </c>
      <c r="E251" s="2"/>
      <c r="F251" s="40" t="s">
        <v>662</v>
      </c>
      <c r="G251" s="44">
        <v>46139</v>
      </c>
      <c r="H251" s="3" t="s">
        <v>102</v>
      </c>
      <c r="I251" s="3"/>
      <c r="J251" s="3"/>
      <c r="K251" s="11"/>
      <c r="L251" s="11"/>
      <c r="M251" s="1"/>
      <c r="N251" s="1"/>
      <c r="O251" s="5"/>
      <c r="P251" s="1"/>
      <c r="Q251" s="1"/>
    </row>
    <row r="252" spans="1:17" x14ac:dyDescent="0.25">
      <c r="A252" s="1"/>
      <c r="B252" s="1"/>
      <c r="C252" s="2" t="s">
        <v>418</v>
      </c>
      <c r="D252" s="1" t="s">
        <v>21</v>
      </c>
      <c r="E252" s="2"/>
      <c r="F252" s="40" t="s">
        <v>663</v>
      </c>
      <c r="G252" s="44">
        <v>46139</v>
      </c>
      <c r="H252" s="3" t="s">
        <v>102</v>
      </c>
      <c r="I252" s="3"/>
      <c r="J252" s="3"/>
      <c r="K252" s="11"/>
      <c r="L252" s="11"/>
      <c r="M252" s="1"/>
      <c r="N252" s="1"/>
      <c r="O252" s="5"/>
      <c r="P252" s="1"/>
      <c r="Q252" s="1"/>
    </row>
    <row r="253" spans="1:17" x14ac:dyDescent="0.25">
      <c r="A253" s="1"/>
      <c r="B253" s="1"/>
      <c r="C253" s="2" t="s">
        <v>418</v>
      </c>
      <c r="D253" s="1" t="s">
        <v>21</v>
      </c>
      <c r="E253" s="2"/>
      <c r="F253" s="40" t="s">
        <v>664</v>
      </c>
      <c r="G253" s="44">
        <v>46139</v>
      </c>
      <c r="H253" s="3" t="s">
        <v>102</v>
      </c>
      <c r="I253" s="3"/>
      <c r="J253" s="3"/>
      <c r="K253" s="11"/>
      <c r="L253" s="11"/>
      <c r="M253" s="1"/>
      <c r="N253" s="1"/>
      <c r="O253" s="5"/>
      <c r="P253" s="1"/>
      <c r="Q253" s="1"/>
    </row>
    <row r="254" spans="1:17" x14ac:dyDescent="0.25">
      <c r="A254" s="1"/>
      <c r="B254" s="1"/>
      <c r="C254" s="2" t="s">
        <v>418</v>
      </c>
      <c r="D254" s="1" t="s">
        <v>21</v>
      </c>
      <c r="E254" s="2"/>
      <c r="F254" s="40" t="s">
        <v>665</v>
      </c>
      <c r="G254" s="44">
        <v>46139</v>
      </c>
      <c r="H254" s="3" t="s">
        <v>102</v>
      </c>
      <c r="I254" s="3"/>
      <c r="J254" s="3"/>
      <c r="K254" s="11"/>
      <c r="L254" s="11"/>
      <c r="M254" s="1"/>
      <c r="N254" s="1"/>
      <c r="O254" s="5"/>
      <c r="P254" s="1"/>
      <c r="Q254" s="1"/>
    </row>
    <row r="255" spans="1:17" x14ac:dyDescent="0.25">
      <c r="A255" s="1"/>
      <c r="B255" s="1"/>
      <c r="C255" s="2" t="s">
        <v>418</v>
      </c>
      <c r="D255" s="1" t="s">
        <v>21</v>
      </c>
      <c r="E255" s="2"/>
      <c r="F255" s="40" t="s">
        <v>666</v>
      </c>
      <c r="G255" s="44">
        <v>46139</v>
      </c>
      <c r="H255" s="3" t="s">
        <v>102</v>
      </c>
      <c r="I255" s="3"/>
      <c r="J255" s="3"/>
      <c r="K255" s="11"/>
      <c r="L255" s="11"/>
      <c r="M255" s="1"/>
      <c r="N255" s="1"/>
      <c r="O255" s="5"/>
      <c r="P255" s="1"/>
      <c r="Q255" s="1"/>
    </row>
    <row r="256" spans="1:17" x14ac:dyDescent="0.25">
      <c r="A256" s="1"/>
      <c r="B256" s="1"/>
      <c r="C256" s="2" t="s">
        <v>418</v>
      </c>
      <c r="D256" s="1" t="s">
        <v>21</v>
      </c>
      <c r="E256" s="2"/>
      <c r="F256" s="40" t="s">
        <v>667</v>
      </c>
      <c r="G256" s="44">
        <v>46139</v>
      </c>
      <c r="H256" s="3" t="s">
        <v>102</v>
      </c>
      <c r="I256" s="3"/>
      <c r="J256" s="3"/>
      <c r="K256" s="11"/>
      <c r="L256" s="11"/>
      <c r="M256" s="1"/>
      <c r="N256" s="1"/>
      <c r="O256" s="5"/>
      <c r="P256" s="1"/>
      <c r="Q256" s="1"/>
    </row>
    <row r="257" spans="1:17" x14ac:dyDescent="0.25">
      <c r="A257" s="1"/>
      <c r="B257" s="1"/>
      <c r="C257" s="2" t="s">
        <v>418</v>
      </c>
      <c r="D257" s="1" t="s">
        <v>21</v>
      </c>
      <c r="E257" s="2"/>
      <c r="F257" s="40" t="s">
        <v>668</v>
      </c>
      <c r="G257" s="44">
        <v>46139</v>
      </c>
      <c r="H257" s="3" t="s">
        <v>102</v>
      </c>
      <c r="I257" s="3"/>
      <c r="J257" s="3"/>
      <c r="K257" s="11"/>
      <c r="L257" s="11"/>
      <c r="M257" s="1"/>
      <c r="N257" s="1"/>
      <c r="O257" s="5"/>
      <c r="P257" s="1"/>
      <c r="Q257" s="1"/>
    </row>
    <row r="258" spans="1:17" x14ac:dyDescent="0.25">
      <c r="A258" s="1"/>
      <c r="B258" s="1"/>
      <c r="C258" s="2" t="s">
        <v>418</v>
      </c>
      <c r="D258" s="1" t="s">
        <v>21</v>
      </c>
      <c r="E258" s="2"/>
      <c r="F258" s="40" t="s">
        <v>669</v>
      </c>
      <c r="G258" s="44">
        <v>46139</v>
      </c>
      <c r="H258" s="3" t="s">
        <v>102</v>
      </c>
      <c r="I258" s="3"/>
      <c r="J258" s="3"/>
      <c r="K258" s="11"/>
      <c r="L258" s="11"/>
      <c r="M258" s="1"/>
      <c r="N258" s="1"/>
      <c r="O258" s="5"/>
      <c r="P258" s="1"/>
      <c r="Q258" s="1"/>
    </row>
    <row r="259" spans="1:17" x14ac:dyDescent="0.25">
      <c r="A259" s="1"/>
      <c r="B259" s="1"/>
      <c r="C259" s="2" t="s">
        <v>418</v>
      </c>
      <c r="D259" s="1" t="s">
        <v>21</v>
      </c>
      <c r="E259" s="2"/>
      <c r="F259" s="40" t="s">
        <v>672</v>
      </c>
      <c r="G259" s="44">
        <v>46139</v>
      </c>
      <c r="H259" s="3" t="s">
        <v>102</v>
      </c>
      <c r="I259" s="3"/>
      <c r="J259" s="3"/>
      <c r="K259" s="11"/>
      <c r="L259" s="11"/>
      <c r="M259" s="1"/>
      <c r="N259" s="1"/>
      <c r="O259" s="5"/>
      <c r="P259" s="1"/>
      <c r="Q259" s="1"/>
    </row>
    <row r="260" spans="1:17" x14ac:dyDescent="0.25">
      <c r="A260" s="1"/>
      <c r="B260" s="1"/>
      <c r="C260" s="2" t="s">
        <v>418</v>
      </c>
      <c r="D260" s="1" t="s">
        <v>21</v>
      </c>
      <c r="E260" s="2"/>
      <c r="F260" s="40" t="s">
        <v>673</v>
      </c>
      <c r="G260" s="44">
        <v>46139</v>
      </c>
      <c r="H260" s="3" t="s">
        <v>102</v>
      </c>
      <c r="I260" s="3"/>
      <c r="J260" s="3"/>
      <c r="K260" s="11"/>
      <c r="L260" s="11"/>
      <c r="M260" s="1"/>
      <c r="N260" s="1"/>
      <c r="O260" s="5"/>
      <c r="P260" s="1"/>
      <c r="Q260" s="1"/>
    </row>
    <row r="261" spans="1:17" x14ac:dyDescent="0.25">
      <c r="A261" s="1"/>
      <c r="B261" s="1"/>
      <c r="C261" s="2" t="s">
        <v>418</v>
      </c>
      <c r="D261" s="1" t="s">
        <v>21</v>
      </c>
      <c r="E261" s="2"/>
      <c r="F261" s="40" t="s">
        <v>674</v>
      </c>
      <c r="G261" s="44">
        <v>46139</v>
      </c>
      <c r="H261" s="3" t="s">
        <v>102</v>
      </c>
      <c r="I261" s="3"/>
      <c r="J261" s="3"/>
      <c r="K261" s="11"/>
      <c r="L261" s="11"/>
      <c r="M261" s="1"/>
      <c r="N261" s="1"/>
      <c r="O261" s="5"/>
      <c r="P261" s="1"/>
      <c r="Q261" s="1"/>
    </row>
    <row r="262" spans="1:17" x14ac:dyDescent="0.25">
      <c r="A262" s="1"/>
      <c r="B262" s="1"/>
      <c r="C262" s="2" t="s">
        <v>418</v>
      </c>
      <c r="D262" s="1" t="s">
        <v>21</v>
      </c>
      <c r="E262" s="2"/>
      <c r="F262" s="40" t="s">
        <v>675</v>
      </c>
      <c r="G262" s="44">
        <v>46139</v>
      </c>
      <c r="H262" s="3" t="s">
        <v>102</v>
      </c>
      <c r="I262" s="3"/>
      <c r="J262" s="3"/>
      <c r="K262" s="11"/>
      <c r="L262" s="11"/>
      <c r="M262" s="1"/>
      <c r="N262" s="1"/>
      <c r="O262" s="5"/>
      <c r="P262" s="1"/>
      <c r="Q262" s="1"/>
    </row>
    <row r="263" spans="1:17" x14ac:dyDescent="0.25">
      <c r="A263" s="1"/>
      <c r="B263" s="1"/>
      <c r="C263" s="2" t="s">
        <v>418</v>
      </c>
      <c r="D263" s="1" t="s">
        <v>21</v>
      </c>
      <c r="E263" s="2"/>
      <c r="F263" s="40" t="s">
        <v>676</v>
      </c>
      <c r="G263" s="44">
        <v>46139</v>
      </c>
      <c r="H263" s="3" t="s">
        <v>102</v>
      </c>
      <c r="I263" s="3"/>
      <c r="J263" s="3"/>
      <c r="K263" s="11"/>
      <c r="L263" s="11"/>
      <c r="M263" s="1"/>
      <c r="N263" s="1"/>
      <c r="O263" s="5"/>
      <c r="P263" s="1"/>
      <c r="Q263" s="1"/>
    </row>
    <row r="264" spans="1:17" x14ac:dyDescent="0.25">
      <c r="A264" s="1"/>
      <c r="B264" s="1"/>
      <c r="C264" s="2" t="s">
        <v>418</v>
      </c>
      <c r="D264" s="1" t="s">
        <v>21</v>
      </c>
      <c r="E264" s="2"/>
      <c r="F264" s="40" t="s">
        <v>677</v>
      </c>
      <c r="G264" s="44">
        <v>46139</v>
      </c>
      <c r="H264" s="3" t="s">
        <v>102</v>
      </c>
      <c r="I264" s="3"/>
      <c r="J264" s="3"/>
      <c r="K264" s="11"/>
      <c r="L264" s="11"/>
      <c r="M264" s="1"/>
      <c r="N264" s="1"/>
      <c r="O264" s="5"/>
      <c r="P264" s="1"/>
      <c r="Q264" s="1"/>
    </row>
    <row r="265" spans="1:17" x14ac:dyDescent="0.25">
      <c r="A265" s="1"/>
      <c r="B265" s="1"/>
      <c r="C265" s="2" t="s">
        <v>418</v>
      </c>
      <c r="D265" s="1" t="s">
        <v>21</v>
      </c>
      <c r="E265" s="2"/>
      <c r="F265" s="40" t="s">
        <v>678</v>
      </c>
      <c r="G265" s="44">
        <v>46139</v>
      </c>
      <c r="H265" s="3" t="s">
        <v>102</v>
      </c>
      <c r="I265" s="3"/>
      <c r="J265" s="3"/>
      <c r="K265" s="11"/>
      <c r="L265" s="11"/>
      <c r="M265" s="1"/>
      <c r="N265" s="1"/>
      <c r="O265" s="5"/>
      <c r="P265" s="1"/>
      <c r="Q265" s="1"/>
    </row>
    <row r="266" spans="1:17" x14ac:dyDescent="0.25">
      <c r="A266" s="1"/>
      <c r="B266" s="1"/>
      <c r="C266" s="2" t="s">
        <v>418</v>
      </c>
      <c r="D266" s="1" t="s">
        <v>21</v>
      </c>
      <c r="E266" s="2"/>
      <c r="F266" s="40" t="s">
        <v>689</v>
      </c>
      <c r="G266" s="44">
        <v>46139</v>
      </c>
      <c r="H266" s="3" t="s">
        <v>102</v>
      </c>
      <c r="I266" s="3"/>
      <c r="J266" s="3"/>
      <c r="K266" s="11"/>
      <c r="L266" s="11"/>
      <c r="M266" s="1"/>
      <c r="N266" s="1"/>
      <c r="O266" s="5"/>
      <c r="P266" s="1"/>
      <c r="Q266" s="1"/>
    </row>
    <row r="267" spans="1:17" x14ac:dyDescent="0.25">
      <c r="A267" s="1"/>
      <c r="B267" s="1"/>
      <c r="C267" s="2" t="s">
        <v>418</v>
      </c>
      <c r="D267" s="1" t="s">
        <v>21</v>
      </c>
      <c r="E267" s="2"/>
      <c r="F267" s="40" t="s">
        <v>679</v>
      </c>
      <c r="G267" s="44">
        <v>46139</v>
      </c>
      <c r="H267" s="3" t="s">
        <v>102</v>
      </c>
      <c r="I267" s="3"/>
      <c r="J267" s="3"/>
      <c r="K267" s="11"/>
      <c r="L267" s="11"/>
      <c r="M267" s="1"/>
      <c r="N267" s="1"/>
      <c r="O267" s="5"/>
      <c r="P267" s="1"/>
      <c r="Q267" s="1"/>
    </row>
    <row r="268" spans="1:17" x14ac:dyDescent="0.25">
      <c r="A268" s="1"/>
      <c r="B268" s="1"/>
      <c r="C268" s="2" t="s">
        <v>418</v>
      </c>
      <c r="D268" s="1" t="s">
        <v>21</v>
      </c>
      <c r="E268" s="2"/>
      <c r="F268" s="40" t="s">
        <v>680</v>
      </c>
      <c r="G268" s="44">
        <v>46139</v>
      </c>
      <c r="H268" s="3" t="s">
        <v>102</v>
      </c>
      <c r="I268" s="3"/>
      <c r="J268" s="3"/>
      <c r="K268" s="11"/>
      <c r="L268" s="11"/>
      <c r="M268" s="1"/>
      <c r="N268" s="1"/>
      <c r="O268" s="5"/>
      <c r="P268" s="1"/>
      <c r="Q268" s="1"/>
    </row>
    <row r="269" spans="1:17" x14ac:dyDescent="0.25">
      <c r="A269" s="1"/>
      <c r="B269" s="1"/>
      <c r="C269" s="2" t="s">
        <v>418</v>
      </c>
      <c r="D269" s="1" t="s">
        <v>21</v>
      </c>
      <c r="E269" s="2"/>
      <c r="F269" s="40" t="s">
        <v>681</v>
      </c>
      <c r="G269" s="44">
        <v>46139</v>
      </c>
      <c r="H269" s="3" t="s">
        <v>102</v>
      </c>
      <c r="I269" s="3"/>
      <c r="J269" s="3"/>
      <c r="K269" s="11"/>
      <c r="L269" s="11"/>
      <c r="M269" s="1"/>
      <c r="N269" s="1"/>
      <c r="O269" s="5"/>
      <c r="P269" s="1"/>
      <c r="Q269" s="1"/>
    </row>
    <row r="270" spans="1:17" x14ac:dyDescent="0.25">
      <c r="A270" s="1"/>
      <c r="B270" s="1"/>
      <c r="C270" s="2" t="s">
        <v>418</v>
      </c>
      <c r="D270" s="1" t="s">
        <v>21</v>
      </c>
      <c r="E270" s="2"/>
      <c r="F270" s="40" t="s">
        <v>682</v>
      </c>
      <c r="G270" s="44">
        <v>46139</v>
      </c>
      <c r="H270" s="3" t="s">
        <v>102</v>
      </c>
      <c r="I270" s="3"/>
      <c r="J270" s="3"/>
      <c r="K270" s="11"/>
      <c r="L270" s="11"/>
      <c r="M270" s="1"/>
      <c r="N270" s="1"/>
      <c r="O270" s="5"/>
      <c r="P270" s="1"/>
      <c r="Q270" s="1"/>
    </row>
    <row r="271" spans="1:17" x14ac:dyDescent="0.25">
      <c r="A271" s="1"/>
      <c r="B271" s="1"/>
      <c r="C271" s="2" t="s">
        <v>418</v>
      </c>
      <c r="D271" s="1" t="s">
        <v>21</v>
      </c>
      <c r="E271" s="2"/>
      <c r="F271" s="40" t="s">
        <v>683</v>
      </c>
      <c r="G271" s="44">
        <v>46139</v>
      </c>
      <c r="H271" s="3" t="s">
        <v>102</v>
      </c>
      <c r="I271" s="3"/>
      <c r="J271" s="3"/>
      <c r="K271" s="11"/>
      <c r="L271" s="11"/>
      <c r="M271" s="1"/>
      <c r="N271" s="1"/>
      <c r="O271" s="5"/>
      <c r="P271" s="1"/>
      <c r="Q271" s="1"/>
    </row>
    <row r="272" spans="1:17" x14ac:dyDescent="0.25">
      <c r="A272" s="1"/>
      <c r="B272" s="1"/>
      <c r="C272" s="2" t="s">
        <v>418</v>
      </c>
      <c r="D272" s="1" t="s">
        <v>21</v>
      </c>
      <c r="E272" s="2"/>
      <c r="F272" s="40" t="s">
        <v>684</v>
      </c>
      <c r="G272" s="44">
        <v>46139</v>
      </c>
      <c r="H272" s="3" t="s">
        <v>102</v>
      </c>
      <c r="I272" s="3"/>
      <c r="J272" s="3"/>
      <c r="K272" s="11"/>
      <c r="L272" s="11"/>
      <c r="M272" s="1"/>
      <c r="N272" s="1"/>
      <c r="O272" s="5"/>
      <c r="P272" s="1"/>
      <c r="Q272" s="1"/>
    </row>
    <row r="273" spans="1:17" x14ac:dyDescent="0.25">
      <c r="A273" s="1"/>
      <c r="B273" s="1"/>
      <c r="C273" s="2" t="s">
        <v>418</v>
      </c>
      <c r="D273" s="1" t="s">
        <v>21</v>
      </c>
      <c r="E273" s="2"/>
      <c r="F273" s="40" t="s">
        <v>685</v>
      </c>
      <c r="G273" s="44">
        <v>46139</v>
      </c>
      <c r="H273" s="3" t="s">
        <v>102</v>
      </c>
      <c r="I273" s="3"/>
      <c r="J273" s="3"/>
      <c r="K273" s="11"/>
      <c r="L273" s="11"/>
      <c r="M273" s="1"/>
      <c r="N273" s="1"/>
      <c r="O273" s="5"/>
      <c r="P273" s="1"/>
      <c r="Q273" s="1"/>
    </row>
    <row r="274" spans="1:17" x14ac:dyDescent="0.25">
      <c r="A274" s="1"/>
      <c r="B274" s="1"/>
      <c r="C274" s="2" t="s">
        <v>418</v>
      </c>
      <c r="D274" s="1" t="s">
        <v>21</v>
      </c>
      <c r="E274" s="2"/>
      <c r="F274" s="40" t="s">
        <v>686</v>
      </c>
      <c r="G274" s="44">
        <v>46139</v>
      </c>
      <c r="H274" s="3" t="s">
        <v>102</v>
      </c>
      <c r="I274" s="3"/>
      <c r="J274" s="3"/>
      <c r="K274" s="11"/>
      <c r="L274" s="11"/>
      <c r="M274" s="1"/>
      <c r="N274" s="1"/>
      <c r="O274" s="5"/>
      <c r="P274" s="1"/>
      <c r="Q274" s="1"/>
    </row>
    <row r="275" spans="1:17" x14ac:dyDescent="0.25">
      <c r="A275" s="1"/>
      <c r="B275" s="1"/>
      <c r="C275" s="2" t="s">
        <v>418</v>
      </c>
      <c r="D275" s="1" t="s">
        <v>21</v>
      </c>
      <c r="E275" s="2"/>
      <c r="F275" s="40" t="s">
        <v>687</v>
      </c>
      <c r="G275" s="44">
        <v>46139</v>
      </c>
      <c r="H275" s="3" t="s">
        <v>102</v>
      </c>
      <c r="I275" s="3"/>
      <c r="J275" s="3"/>
      <c r="K275" s="11"/>
      <c r="L275" s="11"/>
      <c r="M275" s="1"/>
      <c r="N275" s="1"/>
      <c r="O275" s="5"/>
      <c r="P275" s="1"/>
      <c r="Q275" s="1"/>
    </row>
    <row r="276" spans="1:17" x14ac:dyDescent="0.25">
      <c r="A276" s="1"/>
      <c r="B276" s="1"/>
      <c r="C276" s="2" t="s">
        <v>418</v>
      </c>
      <c r="D276" s="1" t="s">
        <v>21</v>
      </c>
      <c r="E276" s="2"/>
      <c r="F276" s="40" t="s">
        <v>688</v>
      </c>
      <c r="G276" s="44">
        <v>46139</v>
      </c>
      <c r="H276" s="3" t="s">
        <v>102</v>
      </c>
      <c r="I276" s="3"/>
      <c r="J276" s="3"/>
      <c r="K276" s="11"/>
      <c r="L276" s="11"/>
      <c r="M276" s="1"/>
      <c r="N276" s="1"/>
      <c r="O276" s="5"/>
      <c r="P276" s="1"/>
      <c r="Q276" s="1"/>
    </row>
    <row r="277" spans="1:17" x14ac:dyDescent="0.25">
      <c r="A277" s="7"/>
      <c r="B277" s="7"/>
      <c r="C277" s="6"/>
      <c r="D277" s="7"/>
      <c r="E277" s="38"/>
      <c r="F277" s="38"/>
      <c r="G277" s="8"/>
      <c r="H277" s="39"/>
      <c r="I277" s="8"/>
      <c r="J277" s="9"/>
      <c r="K277" s="10"/>
      <c r="L277" s="7"/>
      <c r="M277" s="7"/>
      <c r="N277" s="7"/>
      <c r="O277" s="7"/>
      <c r="P277" s="7"/>
      <c r="Q277" s="7"/>
    </row>
    <row r="278" spans="1:17" x14ac:dyDescent="0.25">
      <c r="A278" s="1">
        <v>7</v>
      </c>
      <c r="B278" s="1"/>
      <c r="C278" s="2" t="s">
        <v>419</v>
      </c>
      <c r="D278" s="1" t="s">
        <v>332</v>
      </c>
      <c r="E278" s="2"/>
      <c r="F278" s="40" t="s">
        <v>426</v>
      </c>
      <c r="G278" s="44">
        <v>46139</v>
      </c>
      <c r="H278" s="3" t="s">
        <v>27</v>
      </c>
      <c r="I278" s="3">
        <v>46171</v>
      </c>
      <c r="J278" s="3"/>
      <c r="K278" s="11"/>
      <c r="L278" s="11"/>
      <c r="M278" s="1"/>
      <c r="N278" s="1"/>
      <c r="O278" s="5"/>
      <c r="P278" s="1"/>
      <c r="Q278" s="1"/>
    </row>
    <row r="279" spans="1:17" x14ac:dyDescent="0.25">
      <c r="A279" s="1"/>
      <c r="B279" s="1"/>
      <c r="C279" s="2" t="s">
        <v>419</v>
      </c>
      <c r="D279" s="1" t="s">
        <v>332</v>
      </c>
      <c r="E279" s="2"/>
      <c r="F279" s="40" t="s">
        <v>427</v>
      </c>
      <c r="G279" s="44">
        <v>46139</v>
      </c>
      <c r="H279" s="3" t="s">
        <v>27</v>
      </c>
      <c r="I279" s="3">
        <v>46171</v>
      </c>
      <c r="J279" s="3"/>
      <c r="K279" s="11"/>
      <c r="L279" s="11"/>
      <c r="M279" s="1"/>
      <c r="N279" s="1"/>
      <c r="O279" s="5"/>
      <c r="P279" s="1"/>
      <c r="Q279" s="1"/>
    </row>
    <row r="280" spans="1:17" x14ac:dyDescent="0.25">
      <c r="A280" s="1"/>
      <c r="B280" s="1"/>
      <c r="C280" s="2" t="s">
        <v>419</v>
      </c>
      <c r="D280" s="1" t="s">
        <v>332</v>
      </c>
      <c r="E280" s="2"/>
      <c r="F280" s="40" t="s">
        <v>428</v>
      </c>
      <c r="G280" s="44">
        <v>46139</v>
      </c>
      <c r="H280" s="3" t="s">
        <v>27</v>
      </c>
      <c r="I280" s="3">
        <v>46171</v>
      </c>
      <c r="J280" s="3"/>
      <c r="K280" s="11"/>
      <c r="L280" s="11"/>
      <c r="M280" s="1"/>
      <c r="N280" s="1"/>
      <c r="O280" s="5"/>
      <c r="P280" s="1"/>
      <c r="Q280" s="1"/>
    </row>
    <row r="281" spans="1:17" x14ac:dyDescent="0.25">
      <c r="A281" s="1"/>
      <c r="B281" s="1"/>
      <c r="C281" s="2" t="s">
        <v>419</v>
      </c>
      <c r="D281" s="1" t="s">
        <v>332</v>
      </c>
      <c r="E281" s="2"/>
      <c r="F281" s="40" t="s">
        <v>429</v>
      </c>
      <c r="G281" s="44">
        <v>46139</v>
      </c>
      <c r="H281" s="3" t="s">
        <v>27</v>
      </c>
      <c r="I281" s="3">
        <v>46171</v>
      </c>
      <c r="J281" s="3"/>
      <c r="K281" s="11"/>
      <c r="L281" s="11"/>
      <c r="M281" s="1"/>
      <c r="N281" s="1"/>
      <c r="O281" s="5"/>
      <c r="P281" s="1"/>
      <c r="Q281" s="1"/>
    </row>
    <row r="282" spans="1:17" x14ac:dyDescent="0.25">
      <c r="A282" s="1"/>
      <c r="B282" s="1"/>
      <c r="C282" s="2" t="s">
        <v>419</v>
      </c>
      <c r="D282" s="1" t="s">
        <v>332</v>
      </c>
      <c r="E282" s="2"/>
      <c r="F282" s="40" t="s">
        <v>430</v>
      </c>
      <c r="G282" s="44">
        <v>46139</v>
      </c>
      <c r="H282" s="3" t="s">
        <v>27</v>
      </c>
      <c r="I282" s="3">
        <v>46171</v>
      </c>
      <c r="J282" s="3"/>
      <c r="K282" s="11"/>
      <c r="L282" s="11"/>
      <c r="M282" s="1"/>
      <c r="N282" s="1"/>
      <c r="O282" s="5"/>
      <c r="P282" s="1"/>
      <c r="Q282" s="1"/>
    </row>
    <row r="283" spans="1:17" x14ac:dyDescent="0.25">
      <c r="A283" s="1"/>
      <c r="B283" s="1"/>
      <c r="C283" s="2" t="s">
        <v>419</v>
      </c>
      <c r="D283" s="1" t="s">
        <v>332</v>
      </c>
      <c r="E283" s="2"/>
      <c r="F283" s="40" t="s">
        <v>431</v>
      </c>
      <c r="G283" s="44">
        <v>46139</v>
      </c>
      <c r="H283" s="3" t="s">
        <v>27</v>
      </c>
      <c r="I283" s="3">
        <v>46171</v>
      </c>
      <c r="J283" s="3"/>
      <c r="K283" s="11"/>
      <c r="L283" s="11"/>
      <c r="M283" s="1"/>
      <c r="N283" s="1"/>
      <c r="O283" s="5"/>
      <c r="P283" s="1"/>
      <c r="Q283" s="1"/>
    </row>
    <row r="284" spans="1:17" x14ac:dyDescent="0.25">
      <c r="A284" s="1"/>
      <c r="B284" s="1"/>
      <c r="C284" s="2" t="s">
        <v>419</v>
      </c>
      <c r="D284" s="1" t="s">
        <v>332</v>
      </c>
      <c r="E284" s="2"/>
      <c r="F284" s="40" t="s">
        <v>425</v>
      </c>
      <c r="G284" s="44">
        <v>46139</v>
      </c>
      <c r="H284" s="3" t="s">
        <v>27</v>
      </c>
      <c r="I284" s="3">
        <v>46171</v>
      </c>
      <c r="J284" s="3"/>
      <c r="K284" s="11"/>
      <c r="L284" s="11"/>
      <c r="M284" s="1"/>
      <c r="N284" s="1"/>
      <c r="O284" s="5"/>
      <c r="P284" s="1"/>
      <c r="Q284" s="1"/>
    </row>
    <row r="285" spans="1:17" x14ac:dyDescent="0.25">
      <c r="A285" s="7"/>
      <c r="B285" s="7"/>
      <c r="C285" s="6"/>
      <c r="D285" s="7"/>
      <c r="E285" s="38"/>
      <c r="F285" s="38"/>
      <c r="G285" s="8"/>
      <c r="H285" s="39"/>
      <c r="I285" s="8"/>
      <c r="J285" s="9"/>
      <c r="K285" s="10"/>
      <c r="L285" s="7"/>
      <c r="M285" s="7"/>
      <c r="N285" s="7"/>
      <c r="O285" s="7"/>
      <c r="P285" s="7"/>
      <c r="Q285" s="7"/>
    </row>
    <row r="286" spans="1:17" x14ac:dyDescent="0.25">
      <c r="A286" s="1">
        <v>8</v>
      </c>
      <c r="B286" s="1"/>
      <c r="C286" s="2" t="s">
        <v>420</v>
      </c>
      <c r="D286" s="1" t="s">
        <v>332</v>
      </c>
      <c r="E286" s="2"/>
      <c r="F286" s="2" t="s">
        <v>421</v>
      </c>
      <c r="G286" s="44">
        <v>46139</v>
      </c>
      <c r="H286" s="3" t="s">
        <v>27</v>
      </c>
      <c r="I286" s="3">
        <v>46171</v>
      </c>
      <c r="J286" s="3"/>
      <c r="K286" s="11"/>
      <c r="L286" s="11"/>
      <c r="M286" s="1"/>
      <c r="N286" s="1"/>
      <c r="O286" s="5"/>
      <c r="P286" s="1"/>
      <c r="Q286" s="1"/>
    </row>
    <row r="287" spans="1:17" x14ac:dyDescent="0.25">
      <c r="A287" s="1"/>
      <c r="B287" s="1"/>
      <c r="C287" s="2" t="s">
        <v>420</v>
      </c>
      <c r="D287" s="1" t="s">
        <v>332</v>
      </c>
      <c r="E287" s="2"/>
      <c r="F287" s="40" t="s">
        <v>422</v>
      </c>
      <c r="G287" s="44">
        <v>46139</v>
      </c>
      <c r="H287" s="3" t="s">
        <v>27</v>
      </c>
      <c r="I287" s="3">
        <v>46171</v>
      </c>
      <c r="J287" s="3"/>
      <c r="K287" s="11"/>
      <c r="L287" s="11"/>
      <c r="M287" s="1"/>
      <c r="N287" s="1"/>
      <c r="O287" s="5"/>
      <c r="P287" s="1"/>
      <c r="Q287" s="1"/>
    </row>
    <row r="288" spans="1:17" x14ac:dyDescent="0.25">
      <c r="A288" s="1"/>
      <c r="B288" s="1"/>
      <c r="C288" s="2" t="s">
        <v>420</v>
      </c>
      <c r="D288" s="1" t="s">
        <v>332</v>
      </c>
      <c r="E288" s="2"/>
      <c r="F288" s="40" t="s">
        <v>423</v>
      </c>
      <c r="G288" s="44">
        <v>46139</v>
      </c>
      <c r="H288" s="3" t="s">
        <v>27</v>
      </c>
      <c r="I288" s="3">
        <v>46171</v>
      </c>
      <c r="J288" s="3"/>
      <c r="K288" s="11"/>
      <c r="L288" s="11"/>
      <c r="M288" s="1"/>
      <c r="N288" s="1"/>
      <c r="O288" s="5"/>
      <c r="P288" s="1"/>
      <c r="Q288" s="1"/>
    </row>
    <row r="289" spans="1:17" x14ac:dyDescent="0.25">
      <c r="A289" s="1"/>
      <c r="B289" s="1"/>
      <c r="C289" s="2" t="s">
        <v>420</v>
      </c>
      <c r="D289" s="1" t="s">
        <v>332</v>
      </c>
      <c r="E289" s="2"/>
      <c r="F289" s="40" t="s">
        <v>424</v>
      </c>
      <c r="G289" s="44">
        <v>46139</v>
      </c>
      <c r="H289" s="3" t="s">
        <v>27</v>
      </c>
      <c r="I289" s="3">
        <v>46171</v>
      </c>
      <c r="J289" s="3"/>
      <c r="K289" s="11"/>
      <c r="L289" s="11"/>
      <c r="M289" s="1"/>
      <c r="N289" s="1"/>
      <c r="O289" s="5"/>
      <c r="P289" s="1"/>
      <c r="Q289" s="1"/>
    </row>
    <row r="290" spans="1:17" x14ac:dyDescent="0.25">
      <c r="A290" s="1"/>
      <c r="B290" s="1"/>
      <c r="C290" s="2" t="s">
        <v>420</v>
      </c>
      <c r="D290" s="1" t="s">
        <v>332</v>
      </c>
      <c r="E290" s="2"/>
      <c r="F290" s="40" t="s">
        <v>425</v>
      </c>
      <c r="G290" s="44">
        <v>46139</v>
      </c>
      <c r="H290" s="3" t="s">
        <v>27</v>
      </c>
      <c r="I290" s="3">
        <v>46171</v>
      </c>
      <c r="J290" s="3"/>
      <c r="K290" s="11"/>
      <c r="L290" s="11"/>
      <c r="M290" s="1"/>
      <c r="N290" s="1"/>
      <c r="O290" s="5"/>
      <c r="P290" s="1"/>
      <c r="Q290" s="1"/>
    </row>
    <row r="291" spans="1:17" x14ac:dyDescent="0.25">
      <c r="A291" s="7"/>
      <c r="B291" s="7"/>
      <c r="C291" s="6"/>
      <c r="D291" s="7"/>
      <c r="E291" s="38"/>
      <c r="F291" s="38"/>
      <c r="G291" s="8"/>
      <c r="H291" s="39"/>
      <c r="I291" s="8"/>
      <c r="J291" s="9"/>
      <c r="K291" s="10"/>
      <c r="L291" s="7"/>
      <c r="M291" s="7"/>
      <c r="N291" s="7"/>
      <c r="O291" s="7"/>
      <c r="P291" s="7"/>
      <c r="Q291" s="7"/>
    </row>
    <row r="292" spans="1:17" x14ac:dyDescent="0.25">
      <c r="A292" s="1">
        <v>9</v>
      </c>
      <c r="B292" s="1"/>
      <c r="C292" s="2" t="s">
        <v>496</v>
      </c>
      <c r="D292" s="1" t="s">
        <v>332</v>
      </c>
      <c r="E292" s="2"/>
      <c r="F292" s="40" t="s">
        <v>497</v>
      </c>
      <c r="G292" s="44">
        <v>46143</v>
      </c>
      <c r="H292" s="3" t="s">
        <v>27</v>
      </c>
      <c r="I292" s="3">
        <v>46163</v>
      </c>
      <c r="J292" s="3"/>
      <c r="K292" s="1"/>
      <c r="L292" s="11"/>
      <c r="M292" s="1"/>
      <c r="N292" s="1"/>
      <c r="O292" s="5"/>
      <c r="P292" s="1"/>
      <c r="Q292" s="1"/>
    </row>
    <row r="293" spans="1:17" x14ac:dyDescent="0.25">
      <c r="A293" s="1">
        <v>9</v>
      </c>
      <c r="B293" s="1"/>
      <c r="C293" s="2" t="s">
        <v>496</v>
      </c>
      <c r="D293" s="1" t="s">
        <v>332</v>
      </c>
      <c r="E293" s="2"/>
      <c r="F293" s="40" t="s">
        <v>692</v>
      </c>
      <c r="G293" s="44">
        <v>46143</v>
      </c>
      <c r="H293" s="3" t="s">
        <v>27</v>
      </c>
      <c r="I293" s="3">
        <v>46169</v>
      </c>
      <c r="J293" s="3"/>
      <c r="K293" s="1"/>
      <c r="L293" s="11">
        <v>31.277999999999999</v>
      </c>
      <c r="M293" s="1"/>
      <c r="N293" s="1"/>
      <c r="O293" s="5"/>
      <c r="P293" s="1"/>
      <c r="Q293" s="1"/>
    </row>
    <row r="294" spans="1:17" x14ac:dyDescent="0.25">
      <c r="A294" s="1"/>
      <c r="B294" s="1"/>
      <c r="C294" s="2" t="s">
        <v>496</v>
      </c>
      <c r="D294" s="1" t="s">
        <v>21</v>
      </c>
      <c r="E294" s="2"/>
      <c r="F294" s="40" t="s">
        <v>696</v>
      </c>
      <c r="G294" s="44">
        <v>46143</v>
      </c>
      <c r="H294" s="3" t="s">
        <v>102</v>
      </c>
      <c r="I294" s="3"/>
      <c r="J294" s="3"/>
      <c r="K294" s="1">
        <v>1000</v>
      </c>
      <c r="L294" s="11"/>
      <c r="M294" s="1"/>
      <c r="N294" s="1"/>
      <c r="O294" s="5"/>
      <c r="P294" s="1"/>
      <c r="Q294" s="1"/>
    </row>
    <row r="295" spans="1:17" x14ac:dyDescent="0.25">
      <c r="A295" s="1"/>
      <c r="B295" s="1"/>
      <c r="C295" s="2" t="s">
        <v>496</v>
      </c>
      <c r="D295" s="1" t="s">
        <v>21</v>
      </c>
      <c r="E295" s="2"/>
      <c r="F295" s="40" t="s">
        <v>697</v>
      </c>
      <c r="G295" s="44">
        <v>46143</v>
      </c>
      <c r="H295" s="3" t="s">
        <v>102</v>
      </c>
      <c r="I295" s="3"/>
      <c r="J295" s="3"/>
      <c r="K295" s="1"/>
      <c r="L295" s="11"/>
      <c r="M295" s="1"/>
      <c r="N295" s="1"/>
      <c r="O295" s="5"/>
      <c r="P295" s="1"/>
      <c r="Q295" s="1"/>
    </row>
    <row r="296" spans="1:17" x14ac:dyDescent="0.25">
      <c r="A296" s="1"/>
      <c r="B296" s="1"/>
      <c r="C296" s="2" t="s">
        <v>496</v>
      </c>
      <c r="D296" s="1" t="s">
        <v>21</v>
      </c>
      <c r="E296" s="2"/>
      <c r="F296" s="40" t="s">
        <v>698</v>
      </c>
      <c r="G296" s="44">
        <v>46143</v>
      </c>
      <c r="H296" s="3" t="s">
        <v>102</v>
      </c>
      <c r="I296" s="3"/>
      <c r="J296" s="3"/>
      <c r="K296" s="1"/>
      <c r="L296" s="11"/>
      <c r="M296" s="1"/>
      <c r="N296" s="1"/>
      <c r="O296" s="5"/>
      <c r="P296" s="1"/>
      <c r="Q296" s="1"/>
    </row>
    <row r="297" spans="1:17" x14ac:dyDescent="0.25">
      <c r="A297" s="1"/>
      <c r="B297" s="1"/>
      <c r="C297" s="2" t="s">
        <v>496</v>
      </c>
      <c r="D297" s="1" t="s">
        <v>21</v>
      </c>
      <c r="E297" s="2"/>
      <c r="F297" s="40" t="s">
        <v>699</v>
      </c>
      <c r="G297" s="44">
        <v>46143</v>
      </c>
      <c r="H297" s="3" t="s">
        <v>102</v>
      </c>
      <c r="I297" s="3"/>
      <c r="J297" s="3"/>
      <c r="K297" s="1"/>
      <c r="L297" s="11"/>
      <c r="M297" s="1"/>
      <c r="N297" s="1"/>
      <c r="O297" s="5"/>
      <c r="P297" s="1"/>
      <c r="Q297" s="1"/>
    </row>
    <row r="298" spans="1:17" x14ac:dyDescent="0.25">
      <c r="A298" s="1"/>
      <c r="B298" s="1"/>
      <c r="C298" s="2" t="s">
        <v>496</v>
      </c>
      <c r="D298" s="1" t="s">
        <v>21</v>
      </c>
      <c r="E298" s="2"/>
      <c r="F298" s="40" t="s">
        <v>700</v>
      </c>
      <c r="G298" s="44">
        <v>46143</v>
      </c>
      <c r="H298" s="3" t="s">
        <v>102</v>
      </c>
      <c r="I298" s="3"/>
      <c r="J298" s="3"/>
      <c r="K298" s="1"/>
      <c r="L298" s="11"/>
      <c r="M298" s="1"/>
      <c r="N298" s="1"/>
      <c r="O298" s="5"/>
      <c r="P298" s="1"/>
      <c r="Q298" s="1"/>
    </row>
    <row r="299" spans="1:17" x14ac:dyDescent="0.25">
      <c r="A299" s="1"/>
      <c r="B299" s="1"/>
      <c r="C299" s="2" t="s">
        <v>496</v>
      </c>
      <c r="D299" s="1" t="s">
        <v>21</v>
      </c>
      <c r="E299" s="2"/>
      <c r="F299" s="40" t="s">
        <v>701</v>
      </c>
      <c r="G299" s="44">
        <v>46143</v>
      </c>
      <c r="H299" s="3" t="s">
        <v>102</v>
      </c>
      <c r="I299" s="3"/>
      <c r="J299" s="3"/>
      <c r="K299" s="1"/>
      <c r="L299" s="11"/>
      <c r="M299" s="1"/>
      <c r="N299" s="1"/>
      <c r="O299" s="5"/>
      <c r="P299" s="1"/>
      <c r="Q299" s="1"/>
    </row>
    <row r="300" spans="1:17" x14ac:dyDescent="0.25">
      <c r="A300" s="1"/>
      <c r="B300" s="1"/>
      <c r="C300" s="2" t="s">
        <v>496</v>
      </c>
      <c r="D300" s="1" t="s">
        <v>21</v>
      </c>
      <c r="E300" s="2"/>
      <c r="F300" s="40" t="s">
        <v>702</v>
      </c>
      <c r="G300" s="44">
        <v>46143</v>
      </c>
      <c r="H300" s="3" t="s">
        <v>102</v>
      </c>
      <c r="I300" s="3"/>
      <c r="J300" s="3"/>
      <c r="K300" s="1"/>
      <c r="L300" s="11"/>
      <c r="M300" s="1"/>
      <c r="N300" s="1"/>
      <c r="O300" s="5"/>
      <c r="P300" s="1"/>
      <c r="Q300" s="1"/>
    </row>
    <row r="301" spans="1:17" x14ac:dyDescent="0.25">
      <c r="A301" s="1"/>
      <c r="B301" s="1"/>
      <c r="C301" s="2" t="s">
        <v>496</v>
      </c>
      <c r="D301" s="1" t="s">
        <v>21</v>
      </c>
      <c r="E301" s="2"/>
      <c r="F301" s="40" t="s">
        <v>703</v>
      </c>
      <c r="G301" s="44">
        <v>46143</v>
      </c>
      <c r="H301" s="3" t="s">
        <v>102</v>
      </c>
      <c r="I301" s="3"/>
      <c r="J301" s="3"/>
      <c r="K301" s="1"/>
      <c r="L301" s="11"/>
      <c r="M301" s="1"/>
      <c r="N301" s="1"/>
      <c r="O301" s="5"/>
      <c r="P301" s="1"/>
      <c r="Q301" s="1"/>
    </row>
    <row r="302" spans="1:17" x14ac:dyDescent="0.25">
      <c r="A302" s="1"/>
      <c r="B302" s="1"/>
      <c r="C302" s="2" t="s">
        <v>496</v>
      </c>
      <c r="D302" s="1" t="s">
        <v>21</v>
      </c>
      <c r="E302" s="2"/>
      <c r="F302" s="40" t="s">
        <v>704</v>
      </c>
      <c r="G302" s="44">
        <v>46143</v>
      </c>
      <c r="H302" s="3" t="s">
        <v>102</v>
      </c>
      <c r="I302" s="3"/>
      <c r="J302" s="3"/>
      <c r="K302" s="1"/>
      <c r="L302" s="11"/>
      <c r="M302" s="1"/>
      <c r="N302" s="1"/>
      <c r="O302" s="5"/>
      <c r="P302" s="1"/>
      <c r="Q302" s="1"/>
    </row>
    <row r="303" spans="1:17" x14ac:dyDescent="0.25">
      <c r="A303" s="1"/>
      <c r="B303" s="1"/>
      <c r="C303" s="2" t="s">
        <v>496</v>
      </c>
      <c r="D303" s="1" t="s">
        <v>21</v>
      </c>
      <c r="E303" s="2"/>
      <c r="F303" s="40" t="s">
        <v>705</v>
      </c>
      <c r="G303" s="44">
        <v>46143</v>
      </c>
      <c r="H303" s="3" t="s">
        <v>102</v>
      </c>
      <c r="I303" s="3"/>
      <c r="J303" s="3"/>
      <c r="K303" s="1"/>
      <c r="L303" s="11"/>
      <c r="M303" s="1"/>
      <c r="N303" s="1"/>
      <c r="O303" s="5"/>
      <c r="P303" s="1"/>
      <c r="Q303" s="1"/>
    </row>
    <row r="304" spans="1:17" x14ac:dyDescent="0.25">
      <c r="A304" s="1"/>
      <c r="B304" s="1"/>
      <c r="C304" s="2" t="s">
        <v>496</v>
      </c>
      <c r="D304" s="1" t="s">
        <v>21</v>
      </c>
      <c r="E304" s="2"/>
      <c r="F304" s="40" t="s">
        <v>706</v>
      </c>
      <c r="G304" s="44">
        <v>46143</v>
      </c>
      <c r="H304" s="3" t="s">
        <v>102</v>
      </c>
      <c r="I304" s="3"/>
      <c r="J304" s="3"/>
      <c r="K304" s="1"/>
      <c r="L304" s="11"/>
      <c r="M304" s="1"/>
      <c r="N304" s="1"/>
      <c r="O304" s="5"/>
      <c r="P304" s="1"/>
      <c r="Q304" s="1"/>
    </row>
    <row r="305" spans="1:17" x14ac:dyDescent="0.25">
      <c r="A305" s="1"/>
      <c r="B305" s="1"/>
      <c r="C305" s="2" t="s">
        <v>496</v>
      </c>
      <c r="D305" s="1" t="s">
        <v>21</v>
      </c>
      <c r="E305" s="2"/>
      <c r="F305" s="40" t="s">
        <v>707</v>
      </c>
      <c r="G305" s="44">
        <v>46143</v>
      </c>
      <c r="H305" s="3" t="s">
        <v>102</v>
      </c>
      <c r="I305" s="3"/>
      <c r="J305" s="3"/>
      <c r="K305" s="1"/>
      <c r="L305" s="11"/>
      <c r="M305" s="1"/>
      <c r="N305" s="1"/>
      <c r="O305" s="5"/>
      <c r="P305" s="1"/>
      <c r="Q305" s="1"/>
    </row>
    <row r="306" spans="1:17" x14ac:dyDescent="0.25">
      <c r="A306" s="1"/>
      <c r="B306" s="1"/>
      <c r="C306" s="2" t="s">
        <v>496</v>
      </c>
      <c r="D306" s="1" t="s">
        <v>21</v>
      </c>
      <c r="E306" s="2"/>
      <c r="F306" s="40" t="s">
        <v>709</v>
      </c>
      <c r="G306" s="44">
        <v>46143</v>
      </c>
      <c r="H306" s="3" t="s">
        <v>102</v>
      </c>
      <c r="I306" s="3"/>
      <c r="J306" s="3"/>
      <c r="K306" s="1"/>
      <c r="L306" s="11"/>
      <c r="M306" s="1"/>
      <c r="N306" s="1"/>
      <c r="O306" s="5"/>
      <c r="P306" s="1"/>
      <c r="Q306" s="1"/>
    </row>
    <row r="307" spans="1:17" x14ac:dyDescent="0.25">
      <c r="A307" s="1"/>
      <c r="B307" s="1"/>
      <c r="C307" s="2" t="s">
        <v>496</v>
      </c>
      <c r="D307" s="1" t="s">
        <v>21</v>
      </c>
      <c r="E307" s="2"/>
      <c r="F307" s="40" t="s">
        <v>708</v>
      </c>
      <c r="G307" s="44">
        <v>46143</v>
      </c>
      <c r="H307" s="3" t="s">
        <v>102</v>
      </c>
      <c r="I307" s="3"/>
      <c r="J307" s="3"/>
      <c r="K307" s="1"/>
      <c r="L307" s="11"/>
      <c r="M307" s="1"/>
      <c r="N307" s="1"/>
      <c r="O307" s="5"/>
      <c r="P307" s="1"/>
      <c r="Q307" s="1"/>
    </row>
    <row r="308" spans="1:17" x14ac:dyDescent="0.25">
      <c r="A308" s="1"/>
      <c r="B308" s="1"/>
      <c r="C308" s="2" t="s">
        <v>496</v>
      </c>
      <c r="D308" s="1" t="s">
        <v>21</v>
      </c>
      <c r="E308" s="2"/>
      <c r="F308" s="40" t="s">
        <v>710</v>
      </c>
      <c r="G308" s="44">
        <v>46143</v>
      </c>
      <c r="H308" s="3" t="s">
        <v>102</v>
      </c>
      <c r="I308" s="3"/>
      <c r="J308" s="3"/>
      <c r="K308" s="1"/>
      <c r="L308" s="11"/>
      <c r="M308" s="1"/>
      <c r="N308" s="1"/>
      <c r="O308" s="5"/>
      <c r="P308" s="1"/>
      <c r="Q308" s="1"/>
    </row>
    <row r="309" spans="1:17" x14ac:dyDescent="0.25">
      <c r="A309" s="1"/>
      <c r="B309" s="1"/>
      <c r="C309" s="2" t="s">
        <v>496</v>
      </c>
      <c r="D309" s="1" t="s">
        <v>21</v>
      </c>
      <c r="E309" s="2"/>
      <c r="F309" s="40" t="s">
        <v>711</v>
      </c>
      <c r="G309" s="44">
        <v>46143</v>
      </c>
      <c r="H309" s="3" t="s">
        <v>102</v>
      </c>
      <c r="I309" s="3"/>
      <c r="J309" s="3"/>
      <c r="K309" s="1"/>
      <c r="L309" s="11"/>
      <c r="M309" s="1"/>
      <c r="N309" s="1"/>
      <c r="O309" s="5"/>
      <c r="P309" s="1"/>
      <c r="Q309" s="1"/>
    </row>
    <row r="310" spans="1:17" x14ac:dyDescent="0.25">
      <c r="A310" s="1"/>
      <c r="B310" s="1"/>
      <c r="C310" s="2" t="s">
        <v>496</v>
      </c>
      <c r="D310" s="1" t="s">
        <v>21</v>
      </c>
      <c r="E310" s="2"/>
      <c r="F310" s="40" t="s">
        <v>718</v>
      </c>
      <c r="G310" s="44">
        <v>46143</v>
      </c>
      <c r="H310" s="3" t="s">
        <v>102</v>
      </c>
      <c r="I310" s="3"/>
      <c r="J310" s="3"/>
      <c r="K310" s="1"/>
      <c r="L310" s="11"/>
      <c r="M310" s="1"/>
      <c r="N310" s="1"/>
      <c r="O310" s="5"/>
      <c r="P310" s="1"/>
      <c r="Q310" s="1"/>
    </row>
    <row r="311" spans="1:17" x14ac:dyDescent="0.25">
      <c r="A311" s="1"/>
      <c r="B311" s="1"/>
      <c r="C311" s="2" t="s">
        <v>496</v>
      </c>
      <c r="D311" s="1" t="s">
        <v>21</v>
      </c>
      <c r="E311" s="2"/>
      <c r="F311" s="40" t="s">
        <v>712</v>
      </c>
      <c r="G311" s="44">
        <v>46143</v>
      </c>
      <c r="H311" s="3" t="s">
        <v>102</v>
      </c>
      <c r="I311" s="3"/>
      <c r="J311" s="3"/>
      <c r="K311" s="1"/>
      <c r="L311" s="11"/>
      <c r="M311" s="1"/>
      <c r="N311" s="1"/>
      <c r="O311" s="5"/>
      <c r="P311" s="1"/>
      <c r="Q311" s="1"/>
    </row>
    <row r="312" spans="1:17" x14ac:dyDescent="0.25">
      <c r="A312" s="1"/>
      <c r="B312" s="1"/>
      <c r="C312" s="2" t="s">
        <v>496</v>
      </c>
      <c r="D312" s="1" t="s">
        <v>21</v>
      </c>
      <c r="E312" s="2"/>
      <c r="F312" s="40" t="s">
        <v>719</v>
      </c>
      <c r="G312" s="44">
        <v>46143</v>
      </c>
      <c r="H312" s="3" t="s">
        <v>102</v>
      </c>
      <c r="I312" s="3"/>
      <c r="J312" s="3"/>
      <c r="K312" s="1"/>
      <c r="L312" s="11"/>
      <c r="M312" s="1"/>
      <c r="N312" s="1"/>
      <c r="O312" s="5"/>
      <c r="P312" s="1"/>
      <c r="Q312" s="1"/>
    </row>
    <row r="313" spans="1:17" x14ac:dyDescent="0.25">
      <c r="A313" s="1"/>
      <c r="B313" s="1"/>
      <c r="C313" s="2" t="s">
        <v>496</v>
      </c>
      <c r="D313" s="1" t="s">
        <v>21</v>
      </c>
      <c r="E313" s="2"/>
      <c r="F313" s="40" t="s">
        <v>713</v>
      </c>
      <c r="G313" s="44">
        <v>46143</v>
      </c>
      <c r="H313" s="3" t="s">
        <v>102</v>
      </c>
      <c r="I313" s="3"/>
      <c r="J313" s="3"/>
      <c r="K313" s="1"/>
      <c r="L313" s="11"/>
      <c r="M313" s="1"/>
      <c r="N313" s="1"/>
      <c r="O313" s="5"/>
      <c r="P313" s="1"/>
      <c r="Q313" s="1"/>
    </row>
    <row r="314" spans="1:17" x14ac:dyDescent="0.25">
      <c r="A314" s="1"/>
      <c r="B314" s="1"/>
      <c r="C314" s="2" t="s">
        <v>496</v>
      </c>
      <c r="D314" s="1" t="s">
        <v>21</v>
      </c>
      <c r="E314" s="2"/>
      <c r="F314" s="40" t="s">
        <v>720</v>
      </c>
      <c r="G314" s="44">
        <v>46143</v>
      </c>
      <c r="H314" s="3" t="s">
        <v>102</v>
      </c>
      <c r="I314" s="3"/>
      <c r="J314" s="3"/>
      <c r="K314" s="1"/>
      <c r="L314" s="11"/>
      <c r="M314" s="1"/>
      <c r="N314" s="1"/>
      <c r="O314" s="5"/>
      <c r="P314" s="1"/>
      <c r="Q314" s="1"/>
    </row>
    <row r="315" spans="1:17" x14ac:dyDescent="0.25">
      <c r="A315" s="1"/>
      <c r="B315" s="1"/>
      <c r="C315" s="2" t="s">
        <v>496</v>
      </c>
      <c r="D315" s="1" t="s">
        <v>21</v>
      </c>
      <c r="E315" s="2"/>
      <c r="F315" s="40" t="s">
        <v>714</v>
      </c>
      <c r="G315" s="44">
        <v>46143</v>
      </c>
      <c r="H315" s="3" t="s">
        <v>102</v>
      </c>
      <c r="I315" s="3"/>
      <c r="J315" s="3"/>
      <c r="K315" s="1"/>
      <c r="L315" s="11"/>
      <c r="M315" s="1"/>
      <c r="N315" s="1"/>
      <c r="O315" s="5"/>
      <c r="P315" s="1"/>
      <c r="Q315" s="1"/>
    </row>
    <row r="316" spans="1:17" x14ac:dyDescent="0.25">
      <c r="A316" s="1"/>
      <c r="B316" s="1"/>
      <c r="C316" s="2" t="s">
        <v>496</v>
      </c>
      <c r="D316" s="1" t="s">
        <v>21</v>
      </c>
      <c r="E316" s="2"/>
      <c r="F316" s="40" t="s">
        <v>721</v>
      </c>
      <c r="G316" s="44">
        <v>46143</v>
      </c>
      <c r="H316" s="3" t="s">
        <v>102</v>
      </c>
      <c r="I316" s="3"/>
      <c r="J316" s="3"/>
      <c r="K316" s="1"/>
      <c r="L316" s="11"/>
      <c r="M316" s="1"/>
      <c r="N316" s="1"/>
      <c r="O316" s="5"/>
      <c r="P316" s="1"/>
      <c r="Q316" s="1"/>
    </row>
    <row r="317" spans="1:17" x14ac:dyDescent="0.25">
      <c r="A317" s="1"/>
      <c r="B317" s="1"/>
      <c r="C317" s="2" t="s">
        <v>496</v>
      </c>
      <c r="D317" s="1" t="s">
        <v>21</v>
      </c>
      <c r="E317" s="2"/>
      <c r="F317" s="40" t="s">
        <v>715</v>
      </c>
      <c r="G317" s="44">
        <v>46143</v>
      </c>
      <c r="H317" s="3" t="s">
        <v>102</v>
      </c>
      <c r="I317" s="3"/>
      <c r="J317" s="3"/>
      <c r="K317" s="1"/>
      <c r="L317" s="11"/>
      <c r="M317" s="1"/>
      <c r="N317" s="1"/>
      <c r="O317" s="5"/>
      <c r="P317" s="1"/>
      <c r="Q317" s="1"/>
    </row>
    <row r="318" spans="1:17" x14ac:dyDescent="0.25">
      <c r="A318" s="1"/>
      <c r="B318" s="1"/>
      <c r="C318" s="2" t="s">
        <v>496</v>
      </c>
      <c r="D318" s="1" t="s">
        <v>21</v>
      </c>
      <c r="E318" s="2"/>
      <c r="F318" s="40" t="s">
        <v>722</v>
      </c>
      <c r="G318" s="44">
        <v>46143</v>
      </c>
      <c r="H318" s="3" t="s">
        <v>102</v>
      </c>
      <c r="I318" s="3"/>
      <c r="J318" s="3"/>
      <c r="K318" s="1"/>
      <c r="L318" s="11"/>
      <c r="M318" s="1"/>
      <c r="N318" s="1"/>
      <c r="O318" s="5"/>
      <c r="P318" s="1"/>
      <c r="Q318" s="1"/>
    </row>
    <row r="319" spans="1:17" x14ac:dyDescent="0.25">
      <c r="A319" s="1"/>
      <c r="B319" s="1"/>
      <c r="C319" s="2" t="s">
        <v>496</v>
      </c>
      <c r="D319" s="1" t="s">
        <v>21</v>
      </c>
      <c r="E319" s="2"/>
      <c r="F319" s="40" t="s">
        <v>716</v>
      </c>
      <c r="G319" s="44">
        <v>46143</v>
      </c>
      <c r="H319" s="3" t="s">
        <v>102</v>
      </c>
      <c r="I319" s="3"/>
      <c r="J319" s="3"/>
      <c r="K319" s="1"/>
      <c r="L319" s="11"/>
      <c r="M319" s="1"/>
      <c r="N319" s="1"/>
      <c r="O319" s="5"/>
      <c r="P319" s="1"/>
      <c r="Q319" s="1"/>
    </row>
    <row r="320" spans="1:17" x14ac:dyDescent="0.25">
      <c r="A320" s="1"/>
      <c r="B320" s="1"/>
      <c r="C320" s="2" t="s">
        <v>496</v>
      </c>
      <c r="D320" s="1" t="s">
        <v>21</v>
      </c>
      <c r="E320" s="2"/>
      <c r="F320" s="40" t="s">
        <v>717</v>
      </c>
      <c r="G320" s="44">
        <v>46143</v>
      </c>
      <c r="H320" s="3" t="s">
        <v>102</v>
      </c>
      <c r="I320" s="3"/>
      <c r="J320" s="3"/>
      <c r="K320" s="1"/>
      <c r="L320" s="11"/>
      <c r="M320" s="1"/>
      <c r="N320" s="1"/>
      <c r="O320" s="5"/>
      <c r="P320" s="1"/>
      <c r="Q320" s="1"/>
    </row>
    <row r="321" spans="1:17" x14ac:dyDescent="0.25">
      <c r="A321" s="1"/>
      <c r="B321" s="1"/>
      <c r="C321" s="2" t="s">
        <v>496</v>
      </c>
      <c r="D321" s="1" t="s">
        <v>21</v>
      </c>
      <c r="E321" s="2"/>
      <c r="F321" s="40" t="s">
        <v>501</v>
      </c>
      <c r="G321" s="44">
        <v>46143</v>
      </c>
      <c r="H321" s="3" t="s">
        <v>102</v>
      </c>
      <c r="I321" s="3"/>
      <c r="J321" s="3"/>
      <c r="K321" s="1"/>
      <c r="L321" s="11"/>
      <c r="M321" s="1"/>
      <c r="N321" s="1"/>
      <c r="O321" s="5"/>
      <c r="P321" s="1"/>
      <c r="Q321" s="1"/>
    </row>
    <row r="322" spans="1:17" x14ac:dyDescent="0.25">
      <c r="A322" s="7"/>
      <c r="B322" s="7"/>
      <c r="C322" s="6"/>
      <c r="D322" s="7"/>
      <c r="E322" s="38"/>
      <c r="F322" s="38"/>
      <c r="G322" s="8"/>
      <c r="H322" s="39"/>
      <c r="I322" s="8"/>
      <c r="J322" s="9"/>
      <c r="K322" s="10"/>
      <c r="L322" s="7"/>
      <c r="M322" s="7"/>
      <c r="N322" s="7"/>
      <c r="O322" s="7"/>
      <c r="P322" s="7"/>
      <c r="Q322" s="7"/>
    </row>
    <row r="323" spans="1:17" x14ac:dyDescent="0.25">
      <c r="A323" s="1"/>
      <c r="B323" s="1"/>
      <c r="C323" s="2"/>
      <c r="D323" s="1"/>
      <c r="E323" s="2"/>
      <c r="F323" s="40"/>
      <c r="G323" s="44"/>
      <c r="H323" s="3"/>
      <c r="I323" s="3"/>
      <c r="J323" s="3"/>
      <c r="K323" s="1"/>
      <c r="L323" s="11"/>
      <c r="M323" s="1"/>
      <c r="N323" s="1"/>
      <c r="O323" s="5"/>
      <c r="P323" s="1"/>
      <c r="Q323" s="1"/>
    </row>
    <row r="324" spans="1:17" x14ac:dyDescent="0.25">
      <c r="A324" s="1"/>
      <c r="B324" s="1"/>
      <c r="C324" s="2"/>
      <c r="D324" s="1"/>
      <c r="E324" s="2"/>
      <c r="F324" s="40"/>
      <c r="G324" s="44"/>
      <c r="H324" s="3"/>
      <c r="I324" s="3"/>
      <c r="J324" s="3"/>
      <c r="K324" s="1"/>
      <c r="L324" s="11"/>
      <c r="M324" s="1"/>
      <c r="N324" s="1"/>
      <c r="O324" s="5"/>
      <c r="P324" s="1"/>
      <c r="Q324" s="1"/>
    </row>
    <row r="325" spans="1:17" x14ac:dyDescent="0.25">
      <c r="A325" s="1"/>
      <c r="B325" s="1"/>
      <c r="C325" s="2"/>
      <c r="D325" s="1"/>
      <c r="E325" s="2"/>
      <c r="F325" s="40"/>
      <c r="G325" s="44"/>
      <c r="H325" s="3"/>
      <c r="I325" s="3"/>
      <c r="J325" s="3"/>
      <c r="K325" s="1"/>
      <c r="L325" s="11"/>
      <c r="M325" s="1"/>
      <c r="N325" s="1"/>
      <c r="O325" s="5"/>
      <c r="P325" s="1"/>
      <c r="Q325" s="1"/>
    </row>
    <row r="326" spans="1:17" x14ac:dyDescent="0.25">
      <c r="A326" s="1"/>
      <c r="B326" s="1"/>
      <c r="C326" s="2"/>
      <c r="D326" s="1"/>
      <c r="E326" s="2"/>
      <c r="F326" s="40"/>
      <c r="G326" s="44"/>
      <c r="H326" s="3"/>
      <c r="I326" s="3"/>
      <c r="J326" s="3"/>
      <c r="K326" s="1"/>
      <c r="L326" s="11"/>
      <c r="M326" s="1"/>
      <c r="N326" s="1"/>
      <c r="O326" s="5"/>
      <c r="P326" s="1"/>
      <c r="Q326" s="1"/>
    </row>
    <row r="327" spans="1:17" x14ac:dyDescent="0.25">
      <c r="A327" s="1"/>
      <c r="B327" s="1"/>
      <c r="C327" s="2"/>
      <c r="D327" s="1"/>
      <c r="E327" s="2"/>
      <c r="F327" s="40"/>
      <c r="G327" s="44"/>
      <c r="H327" s="3"/>
      <c r="I327" s="3"/>
      <c r="J327" s="3"/>
      <c r="K327" s="1"/>
      <c r="L327" s="11"/>
      <c r="M327" s="1"/>
      <c r="N327" s="1"/>
      <c r="O327" s="5"/>
      <c r="P327" s="1"/>
      <c r="Q327" s="1"/>
    </row>
    <row r="328" spans="1:17" x14ac:dyDescent="0.25">
      <c r="A328" s="1"/>
      <c r="B328" s="1"/>
      <c r="C328" s="2"/>
      <c r="D328" s="1"/>
      <c r="E328" s="2"/>
      <c r="F328" s="40"/>
      <c r="G328" s="44"/>
      <c r="H328" s="3"/>
      <c r="I328" s="3"/>
      <c r="J328" s="3"/>
      <c r="K328" s="1"/>
      <c r="L328" s="11"/>
      <c r="M328" s="1"/>
      <c r="N328" s="1"/>
      <c r="O328" s="5"/>
      <c r="P328" s="1"/>
      <c r="Q328" s="1"/>
    </row>
    <row r="329" spans="1:17" x14ac:dyDescent="0.25">
      <c r="A329" s="1"/>
      <c r="B329" s="1"/>
      <c r="C329" s="2"/>
      <c r="D329" s="1"/>
      <c r="E329" s="2"/>
      <c r="F329" s="40"/>
      <c r="G329" s="44"/>
      <c r="H329" s="3"/>
      <c r="I329" s="3"/>
      <c r="J329" s="3"/>
      <c r="K329" s="1"/>
      <c r="L329" s="11"/>
      <c r="M329" s="1"/>
      <c r="N329" s="1"/>
      <c r="O329" s="5"/>
      <c r="P329" s="1"/>
      <c r="Q329" s="1"/>
    </row>
    <row r="330" spans="1:17" x14ac:dyDescent="0.25">
      <c r="A330" s="1"/>
      <c r="B330" s="1"/>
      <c r="C330" s="2"/>
      <c r="D330" s="1"/>
      <c r="E330" s="2"/>
      <c r="F330" s="40"/>
      <c r="G330" s="44"/>
      <c r="H330" s="3"/>
      <c r="I330" s="3"/>
      <c r="J330" s="3"/>
      <c r="K330" s="1"/>
      <c r="L330" s="11"/>
      <c r="M330" s="1"/>
      <c r="N330" s="1"/>
      <c r="O330" s="5"/>
      <c r="P330" s="1"/>
      <c r="Q330" s="1"/>
    </row>
    <row r="331" spans="1:17" x14ac:dyDescent="0.25">
      <c r="A331" s="1"/>
      <c r="B331" s="1"/>
      <c r="C331" s="2"/>
      <c r="D331" s="1"/>
      <c r="E331" s="2"/>
      <c r="F331" s="40"/>
      <c r="G331" s="44"/>
      <c r="H331" s="3"/>
      <c r="I331" s="3"/>
      <c r="J331" s="3"/>
      <c r="K331" s="1"/>
      <c r="L331" s="11"/>
      <c r="M331" s="1"/>
      <c r="N331" s="1"/>
      <c r="O331" s="5"/>
      <c r="P331" s="1"/>
      <c r="Q331" s="1"/>
    </row>
    <row r="332" spans="1:17" x14ac:dyDescent="0.25">
      <c r="A332" s="1"/>
      <c r="B332" s="1"/>
      <c r="C332" s="2"/>
      <c r="D332" s="1"/>
      <c r="E332" s="2"/>
      <c r="F332" s="40"/>
      <c r="G332" s="44"/>
      <c r="H332" s="3"/>
      <c r="I332" s="3"/>
      <c r="J332" s="3"/>
      <c r="K332" s="1"/>
      <c r="L332" s="11"/>
      <c r="M332" s="1"/>
      <c r="N332" s="1"/>
      <c r="O332" s="5"/>
      <c r="P332" s="1"/>
      <c r="Q332" s="1"/>
    </row>
    <row r="333" spans="1:17" x14ac:dyDescent="0.25">
      <c r="A333" s="1"/>
      <c r="B333" s="1"/>
      <c r="C333" s="2"/>
      <c r="D333" s="1"/>
      <c r="E333" s="2"/>
      <c r="F333" s="40"/>
      <c r="G333" s="44"/>
      <c r="H333" s="3"/>
      <c r="I333" s="3"/>
      <c r="J333" s="3"/>
      <c r="K333" s="1"/>
      <c r="L333" s="11"/>
      <c r="M333" s="1"/>
      <c r="N333" s="1"/>
      <c r="O333" s="5"/>
      <c r="P333" s="1"/>
      <c r="Q333" s="1"/>
    </row>
    <row r="334" spans="1:17" x14ac:dyDescent="0.25">
      <c r="A334" s="1"/>
      <c r="B334" s="1"/>
      <c r="C334" s="2"/>
      <c r="D334" s="1"/>
      <c r="E334" s="2"/>
      <c r="F334" s="40"/>
      <c r="G334" s="44"/>
      <c r="H334" s="3"/>
      <c r="I334" s="3"/>
      <c r="J334" s="3"/>
      <c r="K334" s="1"/>
      <c r="L334" s="11"/>
      <c r="M334" s="1"/>
      <c r="N334" s="1"/>
      <c r="O334" s="5"/>
      <c r="P334" s="1"/>
      <c r="Q334" s="1"/>
    </row>
    <row r="335" spans="1:17" x14ac:dyDescent="0.25">
      <c r="A335" s="1"/>
      <c r="B335" s="1"/>
      <c r="C335" s="2"/>
      <c r="D335" s="1"/>
      <c r="E335" s="2"/>
      <c r="F335" s="40"/>
      <c r="G335" s="44"/>
      <c r="H335" s="3"/>
      <c r="I335" s="3"/>
      <c r="J335" s="3"/>
      <c r="K335" s="1"/>
      <c r="L335" s="11"/>
      <c r="M335" s="1"/>
      <c r="N335" s="1"/>
      <c r="O335" s="5"/>
      <c r="P335" s="1"/>
      <c r="Q335" s="1"/>
    </row>
    <row r="336" spans="1:17" x14ac:dyDescent="0.25">
      <c r="A336" s="1"/>
      <c r="B336" s="1"/>
      <c r="C336" s="2"/>
      <c r="D336" s="1"/>
      <c r="E336" s="2"/>
      <c r="F336" s="40"/>
      <c r="G336" s="44"/>
      <c r="H336" s="3"/>
      <c r="I336" s="3"/>
      <c r="J336" s="3"/>
      <c r="K336" s="1"/>
      <c r="L336" s="11"/>
      <c r="M336" s="1"/>
      <c r="N336" s="1"/>
      <c r="O336" s="5"/>
      <c r="P336" s="1"/>
      <c r="Q336" s="1"/>
    </row>
    <row r="337" spans="1:17" x14ac:dyDescent="0.25">
      <c r="A337" s="1"/>
      <c r="B337" s="1"/>
      <c r="C337" s="2"/>
      <c r="D337" s="1"/>
      <c r="E337" s="2"/>
      <c r="F337" s="40"/>
      <c r="G337" s="44"/>
      <c r="H337" s="3"/>
      <c r="I337" s="3"/>
      <c r="J337" s="3"/>
      <c r="K337" s="1"/>
      <c r="L337" s="11"/>
      <c r="M337" s="1"/>
      <c r="N337" s="1"/>
      <c r="O337" s="5"/>
      <c r="P337" s="1"/>
      <c r="Q337" s="1"/>
    </row>
    <row r="338" spans="1:17" x14ac:dyDescent="0.25">
      <c r="A338" s="20"/>
      <c r="B338" s="20"/>
      <c r="C338" s="41" t="s">
        <v>26</v>
      </c>
      <c r="D338" s="20"/>
      <c r="E338" s="41"/>
      <c r="F338" s="41"/>
      <c r="G338" s="20"/>
      <c r="H338" s="42" t="s">
        <v>27</v>
      </c>
      <c r="I338" s="20"/>
      <c r="J338" s="20"/>
      <c r="K338" s="20"/>
      <c r="L338" s="20"/>
      <c r="M338" s="20"/>
      <c r="N338" s="20"/>
      <c r="O338" s="20"/>
      <c r="P338" s="20"/>
      <c r="Q338" s="20"/>
    </row>
    <row r="339" spans="1:17" x14ac:dyDescent="0.25">
      <c r="A339" s="1">
        <v>1</v>
      </c>
      <c r="B339" s="1"/>
      <c r="C339" s="2" t="s">
        <v>23</v>
      </c>
      <c r="D339" s="1" t="s">
        <v>345</v>
      </c>
      <c r="E339" s="2"/>
      <c r="F339" s="40" t="s">
        <v>350</v>
      </c>
      <c r="G339" s="3">
        <v>46121</v>
      </c>
      <c r="H339" s="3" t="s">
        <v>102</v>
      </c>
      <c r="I339" s="3"/>
      <c r="J339" s="3"/>
      <c r="K339" s="1"/>
      <c r="L339" s="11"/>
      <c r="M339" s="1"/>
      <c r="N339" s="1"/>
      <c r="O339" s="5"/>
      <c r="P339" s="1"/>
      <c r="Q339" s="1"/>
    </row>
    <row r="340" spans="1:17" x14ac:dyDescent="0.25">
      <c r="A340" s="1">
        <v>2</v>
      </c>
      <c r="B340" s="1"/>
      <c r="C340" s="2" t="s">
        <v>20</v>
      </c>
      <c r="D340" s="1" t="s">
        <v>340</v>
      </c>
      <c r="E340" s="2"/>
      <c r="F340" s="37" t="s">
        <v>341</v>
      </c>
      <c r="G340" s="3">
        <v>46121</v>
      </c>
      <c r="H340" s="3" t="s">
        <v>22</v>
      </c>
      <c r="I340" s="3">
        <v>46126</v>
      </c>
      <c r="J340" s="3"/>
      <c r="K340" s="1"/>
      <c r="L340" s="11"/>
      <c r="M340" s="1"/>
      <c r="N340" s="1"/>
      <c r="O340" s="5" t="s">
        <v>339</v>
      </c>
      <c r="P340" s="1"/>
      <c r="Q340" s="1"/>
    </row>
    <row r="341" spans="1:17" x14ac:dyDescent="0.25">
      <c r="A341" s="1">
        <v>4</v>
      </c>
      <c r="B341" s="1"/>
      <c r="C341" s="2" t="s">
        <v>23</v>
      </c>
      <c r="D341" s="1" t="s">
        <v>345</v>
      </c>
      <c r="E341" s="2"/>
      <c r="F341" s="40" t="s">
        <v>349</v>
      </c>
      <c r="G341" s="3">
        <v>46122</v>
      </c>
      <c r="H341" s="3" t="s">
        <v>102</v>
      </c>
      <c r="I341" s="3"/>
      <c r="J341" s="3"/>
      <c r="K341" s="1"/>
      <c r="L341" s="11"/>
      <c r="M341" s="1"/>
      <c r="N341" s="1"/>
      <c r="O341" s="5"/>
      <c r="P341" s="1"/>
      <c r="Q341" s="1"/>
    </row>
    <row r="342" spans="1:17" x14ac:dyDescent="0.25">
      <c r="A342" s="1">
        <v>5</v>
      </c>
      <c r="B342" s="1"/>
      <c r="C342" s="2" t="s">
        <v>25</v>
      </c>
      <c r="D342" s="1" t="s">
        <v>345</v>
      </c>
      <c r="E342" s="2"/>
      <c r="F342" s="40" t="s">
        <v>344</v>
      </c>
      <c r="G342" s="3">
        <v>46123</v>
      </c>
      <c r="H342" s="3" t="s">
        <v>102</v>
      </c>
      <c r="I342" s="3"/>
      <c r="J342" s="3"/>
      <c r="K342" s="1"/>
      <c r="L342" s="11"/>
      <c r="M342" s="1"/>
      <c r="N342" s="1"/>
      <c r="O342" s="5" t="s">
        <v>335</v>
      </c>
      <c r="P342" s="1"/>
      <c r="Q342" s="1"/>
    </row>
    <row r="343" spans="1:17" x14ac:dyDescent="0.25">
      <c r="A343" s="1">
        <v>6</v>
      </c>
      <c r="B343" s="1"/>
      <c r="C343" s="47" t="s">
        <v>20</v>
      </c>
      <c r="D343" s="48" t="s">
        <v>345</v>
      </c>
      <c r="E343" s="47"/>
      <c r="F343" s="49" t="s">
        <v>346</v>
      </c>
      <c r="G343" s="3">
        <v>46123</v>
      </c>
      <c r="H343" s="50" t="s">
        <v>22</v>
      </c>
      <c r="I343" s="50">
        <v>46125</v>
      </c>
      <c r="J343" s="50"/>
      <c r="K343" s="48"/>
      <c r="L343" s="11"/>
      <c r="M343" s="48"/>
      <c r="N343" s="48"/>
      <c r="O343" s="51" t="s">
        <v>339</v>
      </c>
      <c r="P343" s="1"/>
      <c r="Q343" s="1"/>
    </row>
    <row r="344" spans="1:17" x14ac:dyDescent="0.25">
      <c r="A344" s="1">
        <v>7</v>
      </c>
      <c r="B344" s="1"/>
      <c r="C344" s="47" t="s">
        <v>25</v>
      </c>
      <c r="D344" s="48" t="s">
        <v>347</v>
      </c>
      <c r="E344" s="47"/>
      <c r="F344" s="49" t="s">
        <v>348</v>
      </c>
      <c r="G344" s="3">
        <v>46123</v>
      </c>
      <c r="H344" s="50" t="s">
        <v>27</v>
      </c>
      <c r="I344" s="50">
        <v>46123</v>
      </c>
      <c r="J344" s="50"/>
      <c r="K344" s="48"/>
      <c r="L344" s="11"/>
      <c r="M344" s="48"/>
      <c r="N344" s="48"/>
      <c r="O344" s="51" t="s">
        <v>335</v>
      </c>
      <c r="P344" s="1"/>
      <c r="Q344" s="1"/>
    </row>
    <row r="345" spans="1:17" x14ac:dyDescent="0.25">
      <c r="A345" s="1">
        <v>8</v>
      </c>
      <c r="B345" s="1"/>
      <c r="C345" s="47" t="s">
        <v>20</v>
      </c>
      <c r="D345" s="48" t="s">
        <v>345</v>
      </c>
      <c r="E345" s="47"/>
      <c r="F345" s="49" t="s">
        <v>351</v>
      </c>
      <c r="G345" s="3">
        <v>46125</v>
      </c>
      <c r="H345" s="50" t="s">
        <v>102</v>
      </c>
      <c r="I345" s="50"/>
      <c r="J345" s="50"/>
      <c r="K345" s="48"/>
      <c r="L345" s="11"/>
      <c r="M345" s="48"/>
      <c r="N345" s="48"/>
      <c r="O345" s="51"/>
      <c r="P345" s="1"/>
      <c r="Q345" s="1"/>
    </row>
    <row r="346" spans="1:17" x14ac:dyDescent="0.25">
      <c r="A346" s="1">
        <v>9</v>
      </c>
      <c r="B346" s="1"/>
      <c r="C346" s="47" t="s">
        <v>20</v>
      </c>
      <c r="D346" s="48" t="s">
        <v>345</v>
      </c>
      <c r="E346" s="47"/>
      <c r="F346" s="49" t="s">
        <v>352</v>
      </c>
      <c r="G346" s="3">
        <v>46125</v>
      </c>
      <c r="H346" s="50" t="s">
        <v>22</v>
      </c>
      <c r="I346" s="50"/>
      <c r="J346" s="50"/>
      <c r="K346" s="48"/>
      <c r="L346" s="11"/>
      <c r="M346" s="48"/>
      <c r="N346" s="48"/>
      <c r="O346" s="51" t="s">
        <v>339</v>
      </c>
      <c r="P346" s="1"/>
      <c r="Q346" s="1"/>
    </row>
    <row r="347" spans="1:17" x14ac:dyDescent="0.25">
      <c r="A347" s="1">
        <v>10</v>
      </c>
      <c r="B347" s="1"/>
      <c r="C347" s="47" t="s">
        <v>20</v>
      </c>
      <c r="D347" s="48" t="s">
        <v>345</v>
      </c>
      <c r="E347" s="47"/>
      <c r="F347" s="49" t="s">
        <v>353</v>
      </c>
      <c r="G347" s="3">
        <v>46125</v>
      </c>
      <c r="H347" s="50" t="s">
        <v>102</v>
      </c>
      <c r="I347" s="50"/>
      <c r="J347" s="50"/>
      <c r="K347" s="48"/>
      <c r="L347" s="11"/>
      <c r="M347" s="48"/>
      <c r="N347" s="48"/>
      <c r="O347" s="51"/>
      <c r="P347" s="1"/>
      <c r="Q347" s="1"/>
    </row>
    <row r="348" spans="1:17" x14ac:dyDescent="0.25">
      <c r="A348" s="1">
        <v>11</v>
      </c>
      <c r="B348" s="1"/>
      <c r="C348" s="2" t="s">
        <v>24</v>
      </c>
      <c r="D348" s="48" t="s">
        <v>340</v>
      </c>
      <c r="E348" s="2"/>
      <c r="F348" s="49" t="s">
        <v>355</v>
      </c>
      <c r="G348" s="3">
        <v>46133</v>
      </c>
      <c r="H348" s="50" t="s">
        <v>22</v>
      </c>
      <c r="I348" s="50"/>
      <c r="J348" s="50"/>
      <c r="K348" s="48"/>
      <c r="L348" s="11"/>
      <c r="M348" s="48"/>
      <c r="N348" s="48"/>
      <c r="O348" s="51" t="s">
        <v>337</v>
      </c>
      <c r="P348" s="1"/>
      <c r="Q348" s="1"/>
    </row>
    <row r="349" spans="1:17" x14ac:dyDescent="0.25">
      <c r="A349" s="1">
        <v>11</v>
      </c>
      <c r="B349" s="1"/>
      <c r="C349" s="2" t="s">
        <v>25</v>
      </c>
      <c r="D349" s="48" t="s">
        <v>340</v>
      </c>
      <c r="E349" s="2"/>
      <c r="F349" s="49" t="s">
        <v>359</v>
      </c>
      <c r="G349" s="3">
        <v>46133</v>
      </c>
      <c r="H349" s="50" t="s">
        <v>102</v>
      </c>
      <c r="I349" s="50"/>
      <c r="J349" s="50"/>
      <c r="K349" s="48"/>
      <c r="L349" s="11"/>
      <c r="M349" s="48"/>
      <c r="N349" s="48"/>
      <c r="O349" s="51"/>
      <c r="P349" s="1"/>
      <c r="Q349" s="1"/>
    </row>
    <row r="350" spans="1:17" x14ac:dyDescent="0.25">
      <c r="A350" s="1">
        <v>12</v>
      </c>
      <c r="B350" s="1"/>
      <c r="C350" s="2" t="s">
        <v>24</v>
      </c>
      <c r="D350" s="48" t="s">
        <v>340</v>
      </c>
      <c r="E350" s="2"/>
      <c r="F350" s="49" t="s">
        <v>354</v>
      </c>
      <c r="G350" s="3">
        <v>46134</v>
      </c>
      <c r="H350" s="50" t="s">
        <v>102</v>
      </c>
      <c r="I350" s="3"/>
      <c r="J350" s="3"/>
      <c r="K350" s="1"/>
      <c r="L350" s="11"/>
      <c r="M350" s="1"/>
      <c r="N350" s="1"/>
      <c r="O350" s="5"/>
      <c r="P350" s="1"/>
      <c r="Q350" s="1"/>
    </row>
    <row r="351" spans="1:17" x14ac:dyDescent="0.25">
      <c r="A351" s="1">
        <v>13</v>
      </c>
      <c r="B351" s="1"/>
      <c r="C351" s="47" t="s">
        <v>20</v>
      </c>
      <c r="D351" s="48" t="s">
        <v>345</v>
      </c>
      <c r="E351" s="2"/>
      <c r="F351" s="40" t="s">
        <v>357</v>
      </c>
      <c r="G351" s="3">
        <v>46134</v>
      </c>
      <c r="H351" s="50" t="s">
        <v>102</v>
      </c>
      <c r="I351" s="3"/>
      <c r="J351" s="3"/>
      <c r="K351" s="1"/>
      <c r="L351" s="11"/>
      <c r="M351" s="1"/>
      <c r="N351" s="1"/>
      <c r="O351" s="5"/>
      <c r="P351" s="1"/>
      <c r="Q351" s="1"/>
    </row>
    <row r="352" spans="1:17" x14ac:dyDescent="0.25">
      <c r="A352" s="1">
        <v>14</v>
      </c>
      <c r="B352" s="1"/>
      <c r="C352" s="2" t="s">
        <v>23</v>
      </c>
      <c r="D352" s="48" t="s">
        <v>345</v>
      </c>
      <c r="E352" s="47"/>
      <c r="F352" s="49" t="s">
        <v>358</v>
      </c>
      <c r="G352" s="3">
        <v>46134</v>
      </c>
      <c r="H352" s="3" t="s">
        <v>27</v>
      </c>
      <c r="I352" s="3">
        <v>46134</v>
      </c>
      <c r="J352" s="3"/>
      <c r="K352" s="1"/>
      <c r="L352" s="11"/>
      <c r="M352" s="1"/>
      <c r="N352" s="1"/>
      <c r="O352" s="5" t="s">
        <v>335</v>
      </c>
      <c r="P352" s="1"/>
      <c r="Q352" s="1"/>
    </row>
    <row r="353" spans="1:17" x14ac:dyDescent="0.25">
      <c r="A353" s="1">
        <v>15</v>
      </c>
      <c r="B353" s="1"/>
      <c r="C353" s="47" t="s">
        <v>20</v>
      </c>
      <c r="D353" s="1" t="s">
        <v>347</v>
      </c>
      <c r="E353" s="2"/>
      <c r="F353" s="40" t="s">
        <v>360</v>
      </c>
      <c r="G353" s="3">
        <v>46134</v>
      </c>
      <c r="H353" s="3" t="s">
        <v>102</v>
      </c>
      <c r="I353" s="3"/>
      <c r="J353" s="3"/>
      <c r="K353" s="1"/>
      <c r="L353" s="11"/>
      <c r="M353" s="1"/>
      <c r="N353" s="1"/>
      <c r="O353" s="5"/>
      <c r="P353" s="1"/>
      <c r="Q353" s="1"/>
    </row>
    <row r="354" spans="1:17" x14ac:dyDescent="0.25">
      <c r="A354" s="1">
        <v>16</v>
      </c>
      <c r="B354" s="1"/>
      <c r="C354" s="2" t="s">
        <v>329</v>
      </c>
      <c r="D354" s="1" t="s">
        <v>405</v>
      </c>
      <c r="E354" s="2"/>
      <c r="F354" s="40" t="s">
        <v>413</v>
      </c>
      <c r="G354" s="3">
        <v>46136</v>
      </c>
      <c r="H354" s="3" t="s">
        <v>22</v>
      </c>
      <c r="I354" s="3"/>
      <c r="J354" s="3"/>
      <c r="K354" s="1"/>
      <c r="L354" s="11"/>
      <c r="M354" s="1"/>
      <c r="N354" s="1"/>
      <c r="O354" s="5"/>
      <c r="P354" s="1"/>
      <c r="Q354" s="1"/>
    </row>
    <row r="355" spans="1:17" x14ac:dyDescent="0.25">
      <c r="A355" s="1">
        <v>17</v>
      </c>
      <c r="B355" s="1"/>
      <c r="C355" s="47" t="s">
        <v>25</v>
      </c>
      <c r="D355" s="1" t="s">
        <v>405</v>
      </c>
      <c r="E355" s="2"/>
      <c r="F355" s="40" t="s">
        <v>406</v>
      </c>
      <c r="G355" s="3">
        <v>46136</v>
      </c>
      <c r="H355" s="3" t="s">
        <v>27</v>
      </c>
      <c r="I355" s="3">
        <v>46137</v>
      </c>
      <c r="J355" s="3"/>
      <c r="K355" s="1"/>
      <c r="L355" s="11"/>
      <c r="M355" s="1"/>
      <c r="N355" s="1"/>
      <c r="O355" s="5" t="s">
        <v>335</v>
      </c>
      <c r="P355" s="1"/>
      <c r="Q355" s="1"/>
    </row>
    <row r="356" spans="1:17" x14ac:dyDescent="0.25">
      <c r="A356" s="1">
        <v>18</v>
      </c>
      <c r="B356" s="1"/>
      <c r="C356" s="47" t="s">
        <v>25</v>
      </c>
      <c r="D356" s="48" t="s">
        <v>345</v>
      </c>
      <c r="E356" s="2"/>
      <c r="F356" s="40" t="s">
        <v>407</v>
      </c>
      <c r="G356" s="3">
        <v>46137</v>
      </c>
      <c r="H356" s="3" t="s">
        <v>27</v>
      </c>
      <c r="I356" s="3">
        <v>46137</v>
      </c>
      <c r="J356" s="3"/>
      <c r="K356" s="1"/>
      <c r="L356" s="11"/>
      <c r="M356" s="1"/>
      <c r="N356" s="1"/>
      <c r="O356" s="5" t="s">
        <v>335</v>
      </c>
      <c r="P356" s="1"/>
      <c r="Q356" s="1"/>
    </row>
    <row r="357" spans="1:17" x14ac:dyDescent="0.25">
      <c r="A357" s="1">
        <v>19</v>
      </c>
      <c r="B357" s="1"/>
      <c r="C357" s="2" t="s">
        <v>25</v>
      </c>
      <c r="D357" s="1" t="s">
        <v>408</v>
      </c>
      <c r="E357" s="2"/>
      <c r="F357" s="40" t="s">
        <v>409</v>
      </c>
      <c r="G357" s="3">
        <v>46137</v>
      </c>
      <c r="H357" s="3" t="s">
        <v>27</v>
      </c>
      <c r="I357" s="3">
        <v>46137</v>
      </c>
      <c r="J357" s="3"/>
      <c r="K357" s="1"/>
      <c r="L357" s="11"/>
      <c r="M357" s="1"/>
      <c r="N357" s="1"/>
      <c r="O357" s="5" t="s">
        <v>335</v>
      </c>
      <c r="P357" s="1"/>
      <c r="Q357" s="1"/>
    </row>
    <row r="358" spans="1:17" x14ac:dyDescent="0.25">
      <c r="A358" s="1">
        <v>20</v>
      </c>
      <c r="B358" s="1"/>
      <c r="C358" s="2" t="s">
        <v>23</v>
      </c>
      <c r="D358" s="48" t="s">
        <v>345</v>
      </c>
      <c r="E358" s="47"/>
      <c r="F358" s="49" t="s">
        <v>410</v>
      </c>
      <c r="G358" s="3">
        <v>46137</v>
      </c>
      <c r="H358" s="3" t="s">
        <v>27</v>
      </c>
      <c r="I358" s="3">
        <v>46137</v>
      </c>
      <c r="J358" s="3"/>
      <c r="K358" s="1"/>
      <c r="L358" s="11"/>
      <c r="M358" s="1"/>
      <c r="N358" s="1"/>
      <c r="O358" s="5"/>
      <c r="P358" s="1"/>
      <c r="Q358" s="1"/>
    </row>
    <row r="359" spans="1:17" x14ac:dyDescent="0.25">
      <c r="A359" s="1">
        <v>21</v>
      </c>
      <c r="B359" s="1"/>
      <c r="C359" s="2" t="s">
        <v>329</v>
      </c>
      <c r="D359" s="1" t="s">
        <v>411</v>
      </c>
      <c r="E359" s="2"/>
      <c r="F359" s="40" t="s">
        <v>412</v>
      </c>
      <c r="G359" s="3">
        <v>46139</v>
      </c>
      <c r="H359" s="3" t="s">
        <v>27</v>
      </c>
      <c r="I359" s="3">
        <v>46143</v>
      </c>
      <c r="J359" s="3"/>
      <c r="K359" s="1"/>
      <c r="L359" s="11"/>
      <c r="M359" s="1"/>
      <c r="N359" s="1"/>
      <c r="O359" s="5" t="s">
        <v>356</v>
      </c>
      <c r="P359" s="1"/>
      <c r="Q359" s="1"/>
    </row>
    <row r="360" spans="1:17" x14ac:dyDescent="0.25">
      <c r="A360" s="1">
        <v>22</v>
      </c>
      <c r="B360" s="1"/>
      <c r="C360" s="2" t="s">
        <v>24</v>
      </c>
      <c r="D360" s="1" t="s">
        <v>347</v>
      </c>
      <c r="E360" s="2"/>
      <c r="F360" s="40" t="s">
        <v>414</v>
      </c>
      <c r="G360" s="3">
        <v>46140</v>
      </c>
      <c r="H360" s="3" t="s">
        <v>27</v>
      </c>
      <c r="I360" s="3">
        <v>46140</v>
      </c>
      <c r="J360" s="3"/>
      <c r="K360" s="1"/>
      <c r="L360" s="11"/>
      <c r="M360" s="1"/>
      <c r="N360" s="1"/>
      <c r="O360" s="5" t="s">
        <v>343</v>
      </c>
      <c r="P360" s="1"/>
      <c r="Q360" s="1"/>
    </row>
    <row r="361" spans="1:17" x14ac:dyDescent="0.25">
      <c r="A361" s="1">
        <v>23</v>
      </c>
      <c r="B361" s="1"/>
      <c r="C361" s="2" t="s">
        <v>24</v>
      </c>
      <c r="D361" s="1" t="s">
        <v>340</v>
      </c>
      <c r="E361" s="2"/>
      <c r="F361" s="40" t="s">
        <v>416</v>
      </c>
      <c r="G361" s="3">
        <v>46140</v>
      </c>
      <c r="H361" s="3" t="s">
        <v>27</v>
      </c>
      <c r="I361" s="3">
        <v>46143</v>
      </c>
      <c r="J361" s="3"/>
      <c r="K361" s="1"/>
      <c r="L361" s="11"/>
      <c r="M361" s="1"/>
      <c r="N361" s="1"/>
      <c r="O361" s="5" t="s">
        <v>343</v>
      </c>
      <c r="P361" s="1"/>
      <c r="Q361" s="1"/>
    </row>
    <row r="362" spans="1:17" x14ac:dyDescent="0.25">
      <c r="A362" s="1">
        <v>24</v>
      </c>
      <c r="B362" s="1"/>
      <c r="C362" s="2" t="s">
        <v>24</v>
      </c>
      <c r="D362" s="1" t="s">
        <v>340</v>
      </c>
      <c r="E362" s="2"/>
      <c r="F362" s="40" t="s">
        <v>417</v>
      </c>
      <c r="G362" s="3">
        <v>46140</v>
      </c>
      <c r="H362" s="3" t="s">
        <v>102</v>
      </c>
      <c r="I362" s="3"/>
      <c r="J362" s="3"/>
      <c r="K362" s="1"/>
      <c r="L362" s="11"/>
      <c r="M362" s="1"/>
      <c r="N362" s="1"/>
      <c r="O362" s="5"/>
      <c r="P362" s="1"/>
      <c r="Q362" s="1"/>
    </row>
    <row r="363" spans="1:17" x14ac:dyDescent="0.25">
      <c r="A363" s="1">
        <v>25</v>
      </c>
      <c r="B363" s="1"/>
      <c r="C363" s="47" t="s">
        <v>20</v>
      </c>
      <c r="D363" s="1" t="s">
        <v>340</v>
      </c>
      <c r="E363" s="2"/>
      <c r="F363" s="40" t="s">
        <v>415</v>
      </c>
      <c r="G363" s="3">
        <v>46140</v>
      </c>
      <c r="H363" s="3" t="s">
        <v>102</v>
      </c>
      <c r="I363" s="3"/>
      <c r="J363" s="3"/>
      <c r="K363" s="1"/>
      <c r="L363" s="11"/>
      <c r="M363" s="1"/>
      <c r="N363" s="1"/>
      <c r="O363" s="5"/>
      <c r="P363" s="1"/>
      <c r="Q363" s="1"/>
    </row>
    <row r="364" spans="1:17" x14ac:dyDescent="0.25">
      <c r="A364" s="1">
        <v>26</v>
      </c>
      <c r="B364" s="1"/>
      <c r="C364" s="47" t="s">
        <v>20</v>
      </c>
      <c r="D364" s="48" t="s">
        <v>345</v>
      </c>
      <c r="E364" s="2"/>
      <c r="F364" s="40" t="s">
        <v>483</v>
      </c>
      <c r="G364" s="3">
        <v>46140</v>
      </c>
      <c r="H364" s="3" t="s">
        <v>27</v>
      </c>
      <c r="I364" s="3">
        <v>46140</v>
      </c>
      <c r="J364" s="3"/>
      <c r="K364" s="1"/>
      <c r="L364" s="11"/>
      <c r="M364" s="1"/>
      <c r="N364" s="1"/>
      <c r="O364" s="5" t="s">
        <v>339</v>
      </c>
      <c r="P364" s="1"/>
      <c r="Q364" s="1"/>
    </row>
    <row r="365" spans="1:17" x14ac:dyDescent="0.25">
      <c r="A365" s="1">
        <v>27</v>
      </c>
      <c r="B365" s="1"/>
      <c r="C365" s="2" t="s">
        <v>25</v>
      </c>
      <c r="D365" s="48" t="s">
        <v>345</v>
      </c>
      <c r="E365" s="2"/>
      <c r="F365" s="40" t="s">
        <v>484</v>
      </c>
      <c r="G365" s="3">
        <v>46140</v>
      </c>
      <c r="H365" s="3" t="s">
        <v>22</v>
      </c>
      <c r="I365" s="3">
        <v>46141</v>
      </c>
      <c r="J365" s="3"/>
      <c r="K365" s="1"/>
      <c r="L365" s="11"/>
      <c r="M365" s="1"/>
      <c r="N365" s="1"/>
      <c r="O365" s="5" t="s">
        <v>335</v>
      </c>
      <c r="P365" s="1"/>
      <c r="Q365" s="1"/>
    </row>
    <row r="366" spans="1:17" x14ac:dyDescent="0.25">
      <c r="A366" s="1">
        <v>28</v>
      </c>
      <c r="B366" s="1"/>
      <c r="C366" s="2" t="s">
        <v>24</v>
      </c>
      <c r="D366" s="1" t="s">
        <v>340</v>
      </c>
      <c r="E366" s="2"/>
      <c r="F366" s="40" t="s">
        <v>485</v>
      </c>
      <c r="G366" s="3">
        <v>46140</v>
      </c>
      <c r="H366" s="3" t="s">
        <v>102</v>
      </c>
      <c r="I366" s="3"/>
      <c r="J366" s="3"/>
      <c r="K366" s="1"/>
      <c r="L366" s="11"/>
      <c r="M366" s="1"/>
      <c r="N366" s="1"/>
      <c r="O366" s="5" t="s">
        <v>343</v>
      </c>
      <c r="P366" s="1"/>
      <c r="Q366" s="1"/>
    </row>
    <row r="367" spans="1:17" x14ac:dyDescent="0.25">
      <c r="A367" s="1">
        <v>29</v>
      </c>
      <c r="B367" s="1"/>
      <c r="C367" s="47" t="s">
        <v>20</v>
      </c>
      <c r="D367" s="1" t="s">
        <v>345</v>
      </c>
      <c r="E367" s="2"/>
      <c r="F367" s="40" t="s">
        <v>520</v>
      </c>
      <c r="G367" s="3">
        <v>46140</v>
      </c>
      <c r="H367" s="3" t="s">
        <v>102</v>
      </c>
      <c r="I367" s="3"/>
      <c r="J367" s="3"/>
      <c r="K367" s="1"/>
      <c r="L367" s="11"/>
      <c r="M367" s="1"/>
      <c r="N367" s="1"/>
      <c r="O367" s="5" t="s">
        <v>339</v>
      </c>
      <c r="P367" s="1"/>
      <c r="Q367" s="1"/>
    </row>
    <row r="368" spans="1:17" x14ac:dyDescent="0.25">
      <c r="A368" s="1">
        <v>30</v>
      </c>
      <c r="B368" s="1"/>
      <c r="C368" s="47" t="s">
        <v>20</v>
      </c>
      <c r="D368" s="1" t="s">
        <v>345</v>
      </c>
      <c r="E368" s="2"/>
      <c r="F368" s="40" t="s">
        <v>486</v>
      </c>
      <c r="G368" s="3">
        <v>46140</v>
      </c>
      <c r="H368" s="3" t="s">
        <v>102</v>
      </c>
      <c r="I368" s="3"/>
      <c r="J368" s="3"/>
      <c r="K368" s="1"/>
      <c r="L368" s="11"/>
      <c r="M368" s="1"/>
      <c r="N368" s="1"/>
      <c r="O368" s="5" t="s">
        <v>339</v>
      </c>
      <c r="P368" s="1"/>
      <c r="Q368" s="1"/>
    </row>
    <row r="369" spans="1:17" x14ac:dyDescent="0.25">
      <c r="A369" s="1">
        <v>31</v>
      </c>
      <c r="B369" s="1"/>
      <c r="C369" s="2" t="s">
        <v>25</v>
      </c>
      <c r="D369" s="48" t="s">
        <v>345</v>
      </c>
      <c r="E369" s="2"/>
      <c r="F369" s="40" t="s">
        <v>489</v>
      </c>
      <c r="G369" s="3">
        <v>46142</v>
      </c>
      <c r="H369" s="3" t="s">
        <v>27</v>
      </c>
      <c r="I369" s="3">
        <v>46142</v>
      </c>
      <c r="J369" s="3"/>
      <c r="K369" s="1"/>
      <c r="L369" s="11"/>
      <c r="M369" s="1"/>
      <c r="N369" s="1"/>
      <c r="O369" s="5" t="s">
        <v>335</v>
      </c>
      <c r="P369" s="1"/>
      <c r="Q369" s="1"/>
    </row>
    <row r="370" spans="1:17" x14ac:dyDescent="0.25">
      <c r="A370" s="1">
        <v>32</v>
      </c>
      <c r="B370" s="1"/>
      <c r="C370" s="47" t="s">
        <v>20</v>
      </c>
      <c r="D370" s="48" t="s">
        <v>345</v>
      </c>
      <c r="E370" s="2"/>
      <c r="F370" s="40" t="s">
        <v>490</v>
      </c>
      <c r="G370" s="3">
        <v>46143</v>
      </c>
      <c r="H370" s="3" t="s">
        <v>22</v>
      </c>
      <c r="I370" s="3">
        <v>46147</v>
      </c>
      <c r="J370" s="3"/>
      <c r="K370" s="1"/>
      <c r="L370" s="11"/>
      <c r="M370" s="1"/>
      <c r="N370" s="1"/>
      <c r="O370" s="5" t="s">
        <v>339</v>
      </c>
      <c r="P370" s="1"/>
      <c r="Q370" s="1"/>
    </row>
    <row r="371" spans="1:17" x14ac:dyDescent="0.25">
      <c r="A371" s="1">
        <v>33</v>
      </c>
      <c r="B371" s="1"/>
      <c r="C371" s="2" t="s">
        <v>24</v>
      </c>
      <c r="D371" s="48" t="s">
        <v>345</v>
      </c>
      <c r="E371" s="2"/>
      <c r="F371" s="40" t="s">
        <v>491</v>
      </c>
      <c r="G371" s="3">
        <v>46143</v>
      </c>
      <c r="H371" s="3" t="s">
        <v>102</v>
      </c>
      <c r="I371" s="3"/>
      <c r="J371" s="3"/>
      <c r="K371" s="1"/>
      <c r="L371" s="11"/>
      <c r="M371" s="1"/>
      <c r="N371" s="1"/>
      <c r="O371" s="5"/>
      <c r="P371" s="1"/>
      <c r="Q371" s="1"/>
    </row>
    <row r="372" spans="1:17" x14ac:dyDescent="0.25">
      <c r="A372" s="1">
        <v>34</v>
      </c>
      <c r="B372" s="1"/>
      <c r="C372" s="2" t="s">
        <v>329</v>
      </c>
      <c r="D372" s="48" t="s">
        <v>345</v>
      </c>
      <c r="E372" s="2"/>
      <c r="F372" s="40" t="s">
        <v>492</v>
      </c>
      <c r="G372" s="3">
        <v>46143</v>
      </c>
      <c r="H372" s="3" t="s">
        <v>27</v>
      </c>
      <c r="I372" s="3">
        <v>46146</v>
      </c>
      <c r="J372" s="3"/>
      <c r="K372" s="1"/>
      <c r="L372" s="11"/>
      <c r="M372" s="1"/>
      <c r="N372" s="1"/>
      <c r="O372" s="5" t="s">
        <v>338</v>
      </c>
      <c r="P372" s="1"/>
      <c r="Q372" s="1"/>
    </row>
    <row r="373" spans="1:17" x14ac:dyDescent="0.25">
      <c r="A373" s="1">
        <v>35</v>
      </c>
      <c r="B373" s="1"/>
      <c r="C373" s="2" t="s">
        <v>329</v>
      </c>
      <c r="D373" s="1" t="s">
        <v>340</v>
      </c>
      <c r="E373" s="2"/>
      <c r="F373" s="40" t="s">
        <v>493</v>
      </c>
      <c r="G373" s="3">
        <v>46143</v>
      </c>
      <c r="H373" s="3" t="s">
        <v>27</v>
      </c>
      <c r="I373" s="3">
        <v>46147</v>
      </c>
      <c r="J373" s="3"/>
      <c r="K373" s="1"/>
      <c r="L373" s="11"/>
      <c r="M373" s="1"/>
      <c r="N373" s="1"/>
      <c r="O373" s="5" t="s">
        <v>335</v>
      </c>
      <c r="P373" s="1"/>
      <c r="Q373" s="1"/>
    </row>
    <row r="374" spans="1:17" x14ac:dyDescent="0.25">
      <c r="A374" s="1">
        <v>36</v>
      </c>
      <c r="B374" s="1"/>
      <c r="C374" s="2" t="s">
        <v>494</v>
      </c>
      <c r="D374" s="1" t="s">
        <v>340</v>
      </c>
      <c r="E374" s="2"/>
      <c r="F374" s="40" t="s">
        <v>521</v>
      </c>
      <c r="G374" s="3">
        <v>46139</v>
      </c>
      <c r="H374" s="3" t="s">
        <v>102</v>
      </c>
      <c r="I374" s="3"/>
      <c r="J374" s="3"/>
      <c r="K374" s="1"/>
      <c r="L374" s="11"/>
      <c r="M374" s="1"/>
      <c r="N374" s="1"/>
      <c r="O374" s="5"/>
      <c r="P374" s="1"/>
      <c r="Q374" s="1"/>
    </row>
    <row r="375" spans="1:17" x14ac:dyDescent="0.25">
      <c r="A375" s="1">
        <v>37</v>
      </c>
      <c r="B375" s="1"/>
      <c r="C375" s="47" t="s">
        <v>20</v>
      </c>
      <c r="D375" s="1" t="s">
        <v>340</v>
      </c>
      <c r="E375" s="2"/>
      <c r="F375" s="40" t="s">
        <v>498</v>
      </c>
      <c r="G375" s="3">
        <v>46146</v>
      </c>
      <c r="H375" s="3" t="s">
        <v>102</v>
      </c>
      <c r="I375" s="3"/>
      <c r="J375" s="3"/>
      <c r="K375" s="1"/>
      <c r="L375" s="11"/>
      <c r="M375" s="1"/>
      <c r="N375" s="1"/>
      <c r="O375" s="5"/>
      <c r="P375" s="1"/>
      <c r="Q375" s="1"/>
    </row>
    <row r="376" spans="1:17" x14ac:dyDescent="0.25">
      <c r="A376" s="1">
        <v>38</v>
      </c>
      <c r="B376" s="1"/>
      <c r="C376" s="2" t="s">
        <v>25</v>
      </c>
      <c r="D376" s="48" t="s">
        <v>345</v>
      </c>
      <c r="E376" s="2"/>
      <c r="F376" s="40" t="s">
        <v>499</v>
      </c>
      <c r="G376" s="3">
        <v>46146</v>
      </c>
      <c r="H376" s="3" t="s">
        <v>27</v>
      </c>
      <c r="I376" s="3"/>
      <c r="J376" s="3"/>
      <c r="K376" s="1"/>
      <c r="L376" s="11"/>
      <c r="M376" s="1"/>
      <c r="N376" s="1"/>
      <c r="O376" s="5" t="s">
        <v>335</v>
      </c>
      <c r="P376" s="1"/>
      <c r="Q376" s="1"/>
    </row>
    <row r="377" spans="1:17" x14ac:dyDescent="0.25">
      <c r="A377" s="1">
        <v>39</v>
      </c>
      <c r="B377" s="1"/>
      <c r="C377" s="2" t="s">
        <v>23</v>
      </c>
      <c r="D377" s="48" t="s">
        <v>345</v>
      </c>
      <c r="E377" s="2"/>
      <c r="F377" s="40" t="s">
        <v>500</v>
      </c>
      <c r="G377" s="3">
        <v>46146</v>
      </c>
      <c r="H377" s="3" t="s">
        <v>27</v>
      </c>
      <c r="I377" s="3"/>
      <c r="J377" s="3"/>
      <c r="K377" s="1"/>
      <c r="L377" s="11"/>
      <c r="M377" s="1"/>
      <c r="N377" s="1"/>
      <c r="O377" s="5" t="s">
        <v>335</v>
      </c>
      <c r="P377" s="1"/>
      <c r="Q377" s="1"/>
    </row>
    <row r="378" spans="1:17" x14ac:dyDescent="0.25">
      <c r="A378" s="1">
        <v>40</v>
      </c>
      <c r="B378" s="1"/>
      <c r="C378" s="2" t="s">
        <v>24</v>
      </c>
      <c r="D378" s="1" t="s">
        <v>411</v>
      </c>
      <c r="E378" s="2"/>
      <c r="F378" s="40" t="s">
        <v>582</v>
      </c>
      <c r="G378" s="3">
        <v>46148</v>
      </c>
      <c r="H378" s="3" t="s">
        <v>102</v>
      </c>
      <c r="I378" s="3"/>
      <c r="J378" s="3"/>
      <c r="K378" s="1"/>
      <c r="L378" s="11"/>
      <c r="M378" s="1"/>
      <c r="N378" s="1"/>
      <c r="O378" s="5"/>
      <c r="P378" s="1"/>
      <c r="Q378" s="1"/>
    </row>
    <row r="379" spans="1:17" x14ac:dyDescent="0.25">
      <c r="A379" s="1">
        <v>41</v>
      </c>
      <c r="B379" s="1"/>
      <c r="C379" s="2" t="s">
        <v>329</v>
      </c>
      <c r="D379" s="48" t="s">
        <v>345</v>
      </c>
      <c r="E379" s="2"/>
      <c r="F379" s="40" t="s">
        <v>577</v>
      </c>
      <c r="G379" s="3">
        <v>46148</v>
      </c>
      <c r="H379" s="3" t="s">
        <v>102</v>
      </c>
      <c r="I379" s="3"/>
      <c r="J379" s="3"/>
      <c r="K379" s="1"/>
      <c r="L379" s="11"/>
      <c r="M379" s="1"/>
      <c r="N379" s="1"/>
      <c r="O379" s="5"/>
      <c r="P379" s="1"/>
      <c r="Q379" s="1"/>
    </row>
    <row r="380" spans="1:17" x14ac:dyDescent="0.25">
      <c r="A380" s="1">
        <v>42</v>
      </c>
      <c r="B380" s="1"/>
      <c r="C380" s="2" t="s">
        <v>24</v>
      </c>
      <c r="D380" s="1" t="s">
        <v>345</v>
      </c>
      <c r="E380" s="2"/>
      <c r="F380" s="40" t="s">
        <v>586</v>
      </c>
      <c r="G380" s="3">
        <v>46149</v>
      </c>
      <c r="H380" s="3" t="s">
        <v>27</v>
      </c>
      <c r="I380" s="3">
        <v>46153</v>
      </c>
      <c r="J380" s="3"/>
      <c r="K380" s="1"/>
      <c r="L380" s="11"/>
      <c r="M380" s="1"/>
      <c r="N380" s="1"/>
      <c r="O380" s="5" t="s">
        <v>343</v>
      </c>
      <c r="P380" s="1"/>
      <c r="Q380" s="1"/>
    </row>
    <row r="381" spans="1:17" x14ac:dyDescent="0.25">
      <c r="A381" s="1">
        <v>43</v>
      </c>
      <c r="B381" s="1"/>
      <c r="C381" s="2" t="s">
        <v>20</v>
      </c>
      <c r="D381" s="1" t="s">
        <v>411</v>
      </c>
      <c r="E381" s="2"/>
      <c r="F381" s="40" t="s">
        <v>581</v>
      </c>
      <c r="G381" s="3">
        <v>46149</v>
      </c>
      <c r="H381" s="3" t="s">
        <v>22</v>
      </c>
      <c r="I381" s="3">
        <v>46153</v>
      </c>
      <c r="J381" s="3"/>
      <c r="K381" s="1"/>
      <c r="L381" s="11"/>
      <c r="M381" s="1"/>
      <c r="N381" s="1"/>
      <c r="O381" s="5" t="s">
        <v>356</v>
      </c>
      <c r="P381" s="1"/>
      <c r="Q381" s="1"/>
    </row>
    <row r="382" spans="1:17" x14ac:dyDescent="0.25">
      <c r="A382" s="1">
        <v>44</v>
      </c>
      <c r="B382" s="1"/>
      <c r="C382" s="2" t="s">
        <v>583</v>
      </c>
      <c r="D382" s="1" t="s">
        <v>340</v>
      </c>
      <c r="E382" s="2"/>
      <c r="F382" s="40" t="s">
        <v>584</v>
      </c>
      <c r="G382" s="3">
        <v>46149</v>
      </c>
      <c r="H382" s="3" t="s">
        <v>27</v>
      </c>
      <c r="I382" s="3">
        <v>46149</v>
      </c>
      <c r="J382" s="3"/>
      <c r="K382" s="1"/>
      <c r="L382" s="11"/>
      <c r="M382" s="1"/>
      <c r="N382" s="1"/>
      <c r="O382" s="5" t="s">
        <v>335</v>
      </c>
      <c r="P382" s="1"/>
      <c r="Q382" s="1"/>
    </row>
    <row r="383" spans="1:17" x14ac:dyDescent="0.25">
      <c r="A383" s="1">
        <v>45</v>
      </c>
      <c r="B383" s="1"/>
      <c r="C383" s="2" t="s">
        <v>24</v>
      </c>
      <c r="D383" s="1" t="s">
        <v>340</v>
      </c>
      <c r="E383" s="2"/>
      <c r="F383" s="40" t="s">
        <v>585</v>
      </c>
      <c r="G383" s="3">
        <v>46149</v>
      </c>
      <c r="H383" s="3" t="s">
        <v>27</v>
      </c>
      <c r="I383" s="3">
        <v>46153</v>
      </c>
      <c r="J383" s="3"/>
      <c r="K383" s="1"/>
      <c r="L383" s="11"/>
      <c r="M383" s="1"/>
      <c r="N383" s="1"/>
      <c r="O383" s="5" t="s">
        <v>343</v>
      </c>
      <c r="P383" s="1"/>
      <c r="Q383" s="1"/>
    </row>
    <row r="384" spans="1:17" x14ac:dyDescent="0.25">
      <c r="A384" s="1">
        <v>46</v>
      </c>
      <c r="B384" s="1"/>
      <c r="C384" s="2" t="s">
        <v>329</v>
      </c>
      <c r="D384" s="1" t="s">
        <v>411</v>
      </c>
      <c r="E384" s="2"/>
      <c r="F384" s="40" t="s">
        <v>587</v>
      </c>
      <c r="G384" s="3">
        <v>46150</v>
      </c>
      <c r="H384" s="3" t="s">
        <v>102</v>
      </c>
      <c r="I384" s="3"/>
      <c r="J384" s="3"/>
      <c r="K384" s="1"/>
      <c r="L384" s="11"/>
      <c r="M384" s="1"/>
      <c r="N384" s="1"/>
      <c r="O384" s="5"/>
      <c r="P384" s="1"/>
      <c r="Q384" s="1"/>
    </row>
    <row r="385" spans="1:17" x14ac:dyDescent="0.25">
      <c r="A385" s="1">
        <v>47</v>
      </c>
      <c r="B385" s="1"/>
      <c r="C385" s="47" t="s">
        <v>20</v>
      </c>
      <c r="D385" s="48" t="s">
        <v>345</v>
      </c>
      <c r="E385" s="2"/>
      <c r="F385" s="40" t="s">
        <v>610</v>
      </c>
      <c r="G385" s="3">
        <v>46151</v>
      </c>
      <c r="H385" s="3" t="s">
        <v>102</v>
      </c>
      <c r="I385" s="3">
        <v>46151</v>
      </c>
      <c r="J385" s="3"/>
      <c r="K385" s="1"/>
      <c r="L385" s="11"/>
      <c r="M385" s="1"/>
      <c r="N385" s="1"/>
      <c r="O385" s="5" t="s">
        <v>339</v>
      </c>
      <c r="P385" s="1"/>
      <c r="Q385" s="1"/>
    </row>
    <row r="386" spans="1:17" x14ac:dyDescent="0.25">
      <c r="A386" s="1">
        <v>48</v>
      </c>
      <c r="B386" s="1"/>
      <c r="C386" s="47" t="s">
        <v>20</v>
      </c>
      <c r="D386" s="48" t="s">
        <v>345</v>
      </c>
      <c r="E386" s="2"/>
      <c r="F386" s="40" t="s">
        <v>610</v>
      </c>
      <c r="G386" s="3">
        <v>46154</v>
      </c>
      <c r="H386" s="3" t="s">
        <v>102</v>
      </c>
      <c r="I386" s="3"/>
      <c r="J386" s="3"/>
      <c r="K386" s="1"/>
      <c r="L386" s="11"/>
      <c r="M386" s="1"/>
      <c r="N386" s="1"/>
      <c r="O386" s="5"/>
      <c r="P386" s="1"/>
      <c r="Q386" s="1"/>
    </row>
    <row r="387" spans="1:17" x14ac:dyDescent="0.25">
      <c r="A387" s="1">
        <v>49</v>
      </c>
      <c r="B387" s="1"/>
      <c r="C387" s="2" t="s">
        <v>23</v>
      </c>
      <c r="D387" s="48" t="s">
        <v>345</v>
      </c>
      <c r="E387" s="2"/>
      <c r="F387" s="40" t="s">
        <v>615</v>
      </c>
      <c r="G387" s="3">
        <v>46154</v>
      </c>
      <c r="H387" s="3" t="s">
        <v>27</v>
      </c>
      <c r="I387" s="3">
        <v>46154</v>
      </c>
      <c r="J387" s="3"/>
      <c r="K387" s="1"/>
      <c r="L387" s="11"/>
      <c r="M387" s="1"/>
      <c r="N387" s="1"/>
      <c r="O387" s="5" t="s">
        <v>335</v>
      </c>
      <c r="P387" s="1"/>
      <c r="Q387" s="1"/>
    </row>
    <row r="388" spans="1:17" x14ac:dyDescent="0.25">
      <c r="A388" s="1">
        <v>50</v>
      </c>
      <c r="B388" s="1"/>
      <c r="C388" s="2" t="s">
        <v>25</v>
      </c>
      <c r="D388" s="48" t="s">
        <v>345</v>
      </c>
      <c r="E388" s="2"/>
      <c r="F388" s="40" t="s">
        <v>616</v>
      </c>
      <c r="G388" s="3">
        <v>46154</v>
      </c>
      <c r="H388" s="3" t="s">
        <v>27</v>
      </c>
      <c r="I388" s="3">
        <v>46154</v>
      </c>
      <c r="J388" s="3"/>
      <c r="K388" s="1"/>
      <c r="L388" s="11"/>
      <c r="M388" s="1"/>
      <c r="N388" s="1"/>
      <c r="O388" s="5" t="s">
        <v>335</v>
      </c>
      <c r="P388" s="1"/>
      <c r="Q388" s="1"/>
    </row>
    <row r="389" spans="1:17" x14ac:dyDescent="0.25">
      <c r="A389" s="1">
        <v>51</v>
      </c>
      <c r="B389" s="1"/>
      <c r="C389" s="2" t="s">
        <v>25</v>
      </c>
      <c r="D389" s="48" t="s">
        <v>345</v>
      </c>
      <c r="E389" s="2"/>
      <c r="F389" s="40" t="s">
        <v>618</v>
      </c>
      <c r="G389" s="3">
        <v>46158</v>
      </c>
      <c r="H389" s="3" t="s">
        <v>22</v>
      </c>
      <c r="I389" s="3"/>
      <c r="J389" s="3"/>
      <c r="K389" s="1"/>
      <c r="L389" s="11"/>
      <c r="M389" s="1"/>
      <c r="N389" s="1"/>
      <c r="O389" s="5" t="s">
        <v>335</v>
      </c>
      <c r="P389" s="1"/>
      <c r="Q389" s="1"/>
    </row>
    <row r="390" spans="1:17" x14ac:dyDescent="0.25">
      <c r="A390" s="1">
        <v>52</v>
      </c>
      <c r="B390" s="1"/>
      <c r="C390" s="2"/>
      <c r="D390" s="48"/>
      <c r="E390" s="2"/>
      <c r="F390" s="40"/>
      <c r="G390" s="3"/>
      <c r="H390" s="3"/>
      <c r="I390" s="3"/>
      <c r="J390" s="3"/>
      <c r="K390" s="1"/>
      <c r="L390" s="11"/>
      <c r="M390" s="1"/>
      <c r="N390" s="1"/>
      <c r="O390" s="5"/>
      <c r="P390" s="1"/>
      <c r="Q390" s="1"/>
    </row>
    <row r="391" spans="1:17" x14ac:dyDescent="0.25">
      <c r="A391" s="1"/>
      <c r="B391" s="1"/>
      <c r="C391" s="2"/>
      <c r="D391" s="48"/>
      <c r="E391" s="2"/>
      <c r="F391" s="40"/>
      <c r="G391" s="3"/>
      <c r="H391" s="3"/>
      <c r="I391" s="3"/>
      <c r="J391" s="3"/>
      <c r="K391" s="1"/>
      <c r="L391" s="11"/>
      <c r="M391" s="1"/>
      <c r="N391" s="1"/>
      <c r="O391" s="5"/>
      <c r="P391" s="1"/>
      <c r="Q391" s="1"/>
    </row>
    <row r="392" spans="1:17" x14ac:dyDescent="0.25">
      <c r="A392" s="1"/>
      <c r="B392" s="1"/>
      <c r="C392" s="2"/>
      <c r="D392" s="48"/>
      <c r="E392" s="2"/>
      <c r="F392" s="40"/>
      <c r="G392" s="3"/>
      <c r="H392" s="3"/>
      <c r="I392" s="3"/>
      <c r="J392" s="3"/>
      <c r="K392" s="1"/>
      <c r="L392" s="11"/>
      <c r="M392" s="1"/>
      <c r="N392" s="1"/>
      <c r="O392" s="5"/>
      <c r="P392" s="1"/>
      <c r="Q392" s="1"/>
    </row>
    <row r="393" spans="1:17" x14ac:dyDescent="0.25">
      <c r="A393" s="1"/>
      <c r="B393" s="1"/>
      <c r="C393" s="2"/>
      <c r="D393" s="48"/>
      <c r="E393" s="2"/>
      <c r="F393" s="40"/>
      <c r="G393" s="3"/>
      <c r="H393" s="3"/>
      <c r="I393" s="3"/>
      <c r="J393" s="3"/>
      <c r="K393" s="1"/>
      <c r="L393" s="11"/>
      <c r="M393" s="1"/>
      <c r="N393" s="1"/>
      <c r="O393" s="5"/>
      <c r="P393" s="1"/>
      <c r="Q393" s="1"/>
    </row>
    <row r="394" spans="1:17" x14ac:dyDescent="0.25">
      <c r="A394" s="1"/>
      <c r="B394" s="1"/>
      <c r="C394" s="2"/>
      <c r="D394" s="1"/>
      <c r="E394" s="2"/>
      <c r="F394" s="40"/>
      <c r="G394" s="3"/>
      <c r="H394" s="3"/>
      <c r="I394" s="3"/>
      <c r="J394" s="3"/>
      <c r="K394" s="1"/>
      <c r="L394" s="11"/>
      <c r="M394" s="1"/>
      <c r="N394" s="1"/>
      <c r="O394" s="5"/>
      <c r="P394" s="1"/>
      <c r="Q394" s="1"/>
    </row>
    <row r="395" spans="1:17" x14ac:dyDescent="0.25">
      <c r="A395" s="1"/>
      <c r="B395" s="1"/>
      <c r="C395" s="2"/>
      <c r="D395" s="1"/>
      <c r="E395" s="2"/>
      <c r="F395" s="40"/>
      <c r="G395" s="3"/>
      <c r="H395" s="3"/>
      <c r="I395" s="3"/>
      <c r="J395" s="3"/>
      <c r="K395" s="1"/>
      <c r="L395" s="11"/>
      <c r="M395" s="1"/>
      <c r="N395" s="1"/>
      <c r="O395" s="5"/>
      <c r="P395" s="1"/>
      <c r="Q395" s="1"/>
    </row>
    <row r="396" spans="1:17" x14ac:dyDescent="0.25">
      <c r="A396" s="12"/>
      <c r="B396" s="12"/>
      <c r="C396" s="13"/>
      <c r="D396" s="14"/>
      <c r="E396" s="14"/>
      <c r="F396" s="13"/>
      <c r="G396" s="15"/>
      <c r="H396" s="16"/>
      <c r="I396" s="16"/>
      <c r="J396" s="17" t="s">
        <v>28</v>
      </c>
      <c r="K396" s="18">
        <f t="shared" ref="K396:N396" si="0">SUM(K49:K338)</f>
        <v>1700</v>
      </c>
      <c r="L396" s="18">
        <f t="shared" si="0"/>
        <v>2236.8979999999992</v>
      </c>
      <c r="M396" s="18">
        <f t="shared" si="0"/>
        <v>0</v>
      </c>
      <c r="N396" s="18">
        <f t="shared" si="0"/>
        <v>0</v>
      </c>
      <c r="O396" s="18"/>
      <c r="P396" s="18"/>
      <c r="Q396" s="19"/>
    </row>
    <row r="397" spans="1:17" ht="15.75" thickBot="1" x14ac:dyDescent="0.3">
      <c r="A397" s="93" t="s">
        <v>29</v>
      </c>
      <c r="B397" s="94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6"/>
    </row>
  </sheetData>
  <mergeCells count="6">
    <mergeCell ref="A397:Q397"/>
    <mergeCell ref="A1:Q2"/>
    <mergeCell ref="D3:F3"/>
    <mergeCell ref="G3:Q3"/>
    <mergeCell ref="D4:F4"/>
    <mergeCell ref="G4:Q4"/>
  </mergeCells>
  <phoneticPr fontId="11" type="noConversion"/>
  <conditionalFormatting sqref="A141:I143 K141:Q143 H210:H215 A215:B232 I215:Q232 A233:Q258 A259:B265 I259:Q265 P341:Q349 A341:B353 E348:E350 G350:Q350 E351:Q351 G352:Q352 D353:Q353 A354:Q354 D355:Q355 A355:B356 E356:N356 O356:Q357 A357:N357 G358:H358 A358:B359 I358:Q359 C359:H359 B360:Q362 A360:A363 B363 D363:Q363 E364:Q365 A364:B393 C366:Q366 E367:Q393 C383 A394:Q397 A144:Q214 A266:Q340 A6:Q140">
    <cfRule type="expression" priority="116">
      <formula>SEARCH("BILLING DONE", $B6) &gt; 0</formula>
    </cfRule>
    <cfRule type="expression" dxfId="1221" priority="117">
      <formula>SEARCH("NOT BILLED", $B6) &gt; 0</formula>
    </cfRule>
  </conditionalFormatting>
  <conditionalFormatting sqref="C348:C350">
    <cfRule type="expression" priority="41">
      <formula>SEARCH("BILLING DONE", $B348) &gt; 0</formula>
    </cfRule>
    <cfRule type="expression" dxfId="1220" priority="42">
      <formula>SEARCH("NOT BILLED", $B348) &gt; 0</formula>
    </cfRule>
  </conditionalFormatting>
  <conditionalFormatting sqref="C358">
    <cfRule type="expression" priority="31">
      <formula>SEARCH("BILLING DONE", $B363) &gt; 0</formula>
    </cfRule>
    <cfRule type="expression" dxfId="1219" priority="32">
      <formula>SEARCH("NOT BILLED", $B363) &gt; 0</formula>
    </cfRule>
  </conditionalFormatting>
  <conditionalFormatting sqref="C371">
    <cfRule type="expression" priority="25">
      <formula>SEARCH("BILLING DONE", $B371) &gt; 0</formula>
    </cfRule>
    <cfRule type="expression" dxfId="1218" priority="26">
      <formula>SEARCH("NOT BILLED", $B371) &gt; 0</formula>
    </cfRule>
  </conditionalFormatting>
  <conditionalFormatting sqref="C377">
    <cfRule type="expression" priority="19">
      <formula>SEARCH("BILLING DONE", $B385) &gt; 0</formula>
    </cfRule>
    <cfRule type="expression" dxfId="1217" priority="20">
      <formula>SEARCH("NOT BILLED", $B385) &gt; 0</formula>
    </cfRule>
  </conditionalFormatting>
  <conditionalFormatting sqref="C378">
    <cfRule type="expression" priority="17">
      <formula>SEARCH("BILLING DONE", $B378) &gt; 0</formula>
    </cfRule>
    <cfRule type="expression" dxfId="1216" priority="18">
      <formula>SEARCH("NOT BILLED", $B378) &gt; 0</formula>
    </cfRule>
  </conditionalFormatting>
  <conditionalFormatting sqref="C380">
    <cfRule type="expression" priority="11">
      <formula>SEARCH("BILLING DONE", $B380) &gt; 0</formula>
    </cfRule>
    <cfRule type="expression" dxfId="1215" priority="12">
      <formula>SEARCH("NOT BILLED", $B380) &gt; 0</formula>
    </cfRule>
  </conditionalFormatting>
  <conditionalFormatting sqref="C387">
    <cfRule type="expression" priority="5">
      <formula>SEARCH("BILLING DONE", $B400) &gt; 0</formula>
    </cfRule>
    <cfRule type="expression" dxfId="1214" priority="6">
      <formula>SEARCH("NOT BILLED", $B400) &gt; 0</formula>
    </cfRule>
  </conditionalFormatting>
  <conditionalFormatting sqref="C215:H219 C227:H232 C259:H265">
    <cfRule type="expression" priority="1214">
      <formula>SEARCH("BILLING DONE", #REF!) &gt; 0</formula>
    </cfRule>
    <cfRule type="expression" dxfId="1213" priority="1215">
      <formula>SEARCH("NOT BILLED", #REF!) &gt; 0</formula>
    </cfRule>
  </conditionalFormatting>
  <conditionalFormatting sqref="C220:H226">
    <cfRule type="expression" priority="1192">
      <formula>SEARCH("BILLING DONE", $B259) &gt; 0</formula>
    </cfRule>
    <cfRule type="expression" dxfId="1212" priority="1193">
      <formula>SEARCH("NOT BILLED", $B259) &gt; 0</formula>
    </cfRule>
  </conditionalFormatting>
  <conditionalFormatting sqref="C341:O341 C352">
    <cfRule type="expression" priority="37">
      <formula>SEARCH("BILLING DONE", $B344) &gt; 0</formula>
    </cfRule>
    <cfRule type="expression" dxfId="1211" priority="38">
      <formula>SEARCH("NOT BILLED", $B344) &gt; 0</formula>
    </cfRule>
  </conditionalFormatting>
  <conditionalFormatting sqref="C342:O342">
    <cfRule type="expression" priority="142">
      <formula>SEARCH("BILLING DONE", #REF!) &gt; 0</formula>
    </cfRule>
    <cfRule type="expression" dxfId="1210" priority="143">
      <formula>SEARCH("NOT BILLED", #REF!) &gt; 0</formula>
    </cfRule>
  </conditionalFormatting>
  <conditionalFormatting sqref="C343:O344 C355:C356 D364:D365 D379 D385:D389">
    <cfRule type="expression" priority="35">
      <formula>SEARCH("BILLING DONE", $B341) &gt; 0</formula>
    </cfRule>
    <cfRule type="expression" dxfId="1209" priority="36">
      <formula>SEARCH("NOT BILLED", $B341) &gt; 0</formula>
    </cfRule>
  </conditionalFormatting>
  <conditionalFormatting sqref="D367:D368 D382:D383 D391">
    <cfRule type="expression" priority="214">
      <formula>SEARCH("BILLING DONE", $B363) &gt; 0</formula>
    </cfRule>
    <cfRule type="expression" dxfId="1208" priority="215">
      <formula>SEARCH("NOT BILLED", $B363) &gt; 0</formula>
    </cfRule>
  </conditionalFormatting>
  <conditionalFormatting sqref="D369:D372">
    <cfRule type="expression" priority="27">
      <formula>SEARCH("BILLING DONE", $B367) &gt; 0</formula>
    </cfRule>
    <cfRule type="expression" dxfId="1207" priority="28">
      <formula>SEARCH("NOT BILLED", $B367) &gt; 0</formula>
    </cfRule>
  </conditionalFormatting>
  <conditionalFormatting sqref="D373:D375">
    <cfRule type="expression" priority="23">
      <formula>SEARCH("BILLING DONE", $B373) &gt; 0</formula>
    </cfRule>
    <cfRule type="expression" dxfId="1206" priority="24">
      <formula>SEARCH("NOT BILLED", $B373) &gt; 0</formula>
    </cfRule>
  </conditionalFormatting>
  <conditionalFormatting sqref="D376:D377">
    <cfRule type="expression" priority="21">
      <formula>SEARCH("BILLING DONE", $B374) &gt; 0</formula>
    </cfRule>
    <cfRule type="expression" dxfId="1205" priority="22">
      <formula>SEARCH("NOT BILLED", $B374) &gt; 0</formula>
    </cfRule>
  </conditionalFormatting>
  <conditionalFormatting sqref="D378">
    <cfRule type="expression" priority="170">
      <formula>SEARCH("BILLING DONE", $B363) &gt; 0</formula>
    </cfRule>
    <cfRule type="expression" dxfId="1204" priority="171">
      <formula>SEARCH("NOT BILLED", $B363) &gt; 0</formula>
    </cfRule>
  </conditionalFormatting>
  <conditionalFormatting sqref="D380:D381 D390">
    <cfRule type="expression" priority="1031">
      <formula>SEARCH("BILLING DONE", $B377) &gt; 0</formula>
    </cfRule>
    <cfRule type="expression" dxfId="1203" priority="1032">
      <formula>SEARCH("NOT BILLED", $B377) &gt; 0</formula>
    </cfRule>
  </conditionalFormatting>
  <conditionalFormatting sqref="D384">
    <cfRule type="expression" priority="1019">
      <formula>SEARCH("BILLING DONE", $B378) &gt; 0</formula>
    </cfRule>
    <cfRule type="expression" dxfId="1202" priority="1020">
      <formula>SEARCH("NOT BILLED", $B378) &gt; 0</formula>
    </cfRule>
  </conditionalFormatting>
  <conditionalFormatting sqref="D392">
    <cfRule type="expression" priority="1184">
      <formula>SEARCH("BILLING DONE", $B387) &gt; 0</formula>
    </cfRule>
    <cfRule type="expression" dxfId="1201" priority="1185">
      <formula>SEARCH("NOT BILLED", $B387) &gt; 0</formula>
    </cfRule>
  </conditionalFormatting>
  <conditionalFormatting sqref="D393">
    <cfRule type="expression" priority="1178">
      <formula>SEARCH("BILLING DONE", $B387) &gt; 0</formula>
    </cfRule>
    <cfRule type="expression" dxfId="1200" priority="1179">
      <formula>SEARCH("NOT BILLED", $B387) &gt; 0</formula>
    </cfRule>
  </conditionalFormatting>
  <conditionalFormatting sqref="D352:F352">
    <cfRule type="expression" priority="39">
      <formula>SEARCH("BILLING DONE", $B350) &gt; 0</formula>
    </cfRule>
    <cfRule type="expression" dxfId="1199" priority="40">
      <formula>SEARCH("NOT BILLED", $B350) &gt; 0</formula>
    </cfRule>
  </conditionalFormatting>
  <conditionalFormatting sqref="D358:F358">
    <cfRule type="expression" priority="33">
      <formula>SEARCH("BILLING DONE", $B356) &gt; 0</formula>
    </cfRule>
    <cfRule type="expression" dxfId="1198" priority="34">
      <formula>SEARCH("NOT BILLED", $B356) &gt; 0</formula>
    </cfRule>
  </conditionalFormatting>
  <conditionalFormatting sqref="E49:E121 E186:F207 E123:F164">
    <cfRule type="containsText" dxfId="1197" priority="47" operator="containsText" text="COMPLETED">
      <formula>NOT(ISERROR(SEARCH("COMPLETED",E49)))</formula>
    </cfRule>
    <cfRule type="containsText" dxfId="1196" priority="48" operator="containsText" text="HOLD">
      <formula>NOT(ISERROR(SEARCH("HOLD",E49)))</formula>
    </cfRule>
    <cfRule type="containsText" dxfId="1195" priority="49" operator="containsText" text="NOT YET STARTED">
      <formula>NOT(ISERROR(SEARCH("NOT YET STARTED",E49)))</formula>
    </cfRule>
    <cfRule type="containsText" dxfId="1194" priority="50" operator="containsText" text="IN PROGRESS">
      <formula>NOT(ISERROR(SEARCH("IN PROGRESS",E49)))</formula>
    </cfRule>
  </conditionalFormatting>
  <conditionalFormatting sqref="E166:E184">
    <cfRule type="containsText" dxfId="1193" priority="59" operator="containsText" text="COMPLETED">
      <formula>NOT(ISERROR(SEARCH("COMPLETED",E166)))</formula>
    </cfRule>
    <cfRule type="containsText" dxfId="1192" priority="60" operator="containsText" text="HOLD">
      <formula>NOT(ISERROR(SEARCH("HOLD",E166)))</formula>
    </cfRule>
    <cfRule type="containsText" dxfId="1191" priority="61" operator="containsText" text="NOT YET STARTED">
      <formula>NOT(ISERROR(SEARCH("NOT YET STARTED",E166)))</formula>
    </cfRule>
    <cfRule type="containsText" dxfId="1190" priority="62" operator="containsText" text="IN PROGRESS">
      <formula>NOT(ISERROR(SEARCH("IN PROGRESS",E166)))</formula>
    </cfRule>
  </conditionalFormatting>
  <conditionalFormatting sqref="E6:F47">
    <cfRule type="containsText" dxfId="1189" priority="75" operator="containsText" text="COMPLETED">
      <formula>NOT(ISERROR(SEARCH("COMPLETED",E6)))</formula>
    </cfRule>
    <cfRule type="containsText" dxfId="1188" priority="76" operator="containsText" text="HOLD">
      <formula>NOT(ISERROR(SEARCH("HOLD",E6)))</formula>
    </cfRule>
    <cfRule type="containsText" dxfId="1187" priority="77" operator="containsText" text="NOT YET STARTED">
      <formula>NOT(ISERROR(SEARCH("NOT YET STARTED",E6)))</formula>
    </cfRule>
    <cfRule type="containsText" dxfId="1186" priority="78" operator="containsText" text="IN PROGRESS">
      <formula>NOT(ISERROR(SEARCH("IN PROGRESS",E6)))</formula>
    </cfRule>
  </conditionalFormatting>
  <conditionalFormatting sqref="F49:F121">
    <cfRule type="containsText" dxfId="1185" priority="79" operator="containsText" text="COMPLETED">
      <formula>NOT(ISERROR(SEARCH("COMPLETED",F49)))</formula>
    </cfRule>
    <cfRule type="containsText" dxfId="1184" priority="80" operator="containsText" text="HOLD">
      <formula>NOT(ISERROR(SEARCH("HOLD",F49)))</formula>
    </cfRule>
    <cfRule type="containsText" dxfId="1183" priority="81" operator="containsText" text="NOT YET STARTED">
      <formula>NOT(ISERROR(SEARCH("NOT YET STARTED",F49)))</formula>
    </cfRule>
    <cfRule type="containsText" dxfId="1182" priority="82" operator="containsText" text="IN PROGRESS">
      <formula>NOT(ISERROR(SEARCH("IN PROGRESS",F49)))</formula>
    </cfRule>
  </conditionalFormatting>
  <conditionalFormatting sqref="F166:F184">
    <cfRule type="containsText" dxfId="1181" priority="83" operator="containsText" text="COMPLETED">
      <formula>NOT(ISERROR(SEARCH("COMPLETED",F166)))</formula>
    </cfRule>
    <cfRule type="containsText" dxfId="1180" priority="84" operator="containsText" text="HOLD">
      <formula>NOT(ISERROR(SEARCH("HOLD",F166)))</formula>
    </cfRule>
    <cfRule type="containsText" dxfId="1179" priority="85" operator="containsText" text="NOT YET STARTED">
      <formula>NOT(ISERROR(SEARCH("NOT YET STARTED",F166)))</formula>
    </cfRule>
    <cfRule type="containsText" dxfId="1178" priority="86" operator="containsText" text="IN PROGRESS">
      <formula>NOT(ISERROR(SEARCH("IN PROGRESS",F166)))</formula>
    </cfRule>
  </conditionalFormatting>
  <conditionalFormatting sqref="F340">
    <cfRule type="containsText" dxfId="1177" priority="63" operator="containsText" text="COMPLETED">
      <formula>NOT(ISERROR(SEARCH("COMPLETED",F340)))</formula>
    </cfRule>
    <cfRule type="containsText" dxfId="1176" priority="64" operator="containsText" text="HOLD">
      <formula>NOT(ISERROR(SEARCH("HOLD",F340)))</formula>
    </cfRule>
    <cfRule type="containsText" dxfId="1175" priority="65" operator="containsText" text="NOT YET STARTED">
      <formula>NOT(ISERROR(SEARCH("NOT YET STARTED",F340)))</formula>
    </cfRule>
    <cfRule type="containsText" dxfId="1174" priority="66" operator="containsText" text="IN PROGRESS">
      <formula>NOT(ISERROR(SEARCH("IN PROGRESS",F340)))</formula>
    </cfRule>
  </conditionalFormatting>
  <conditionalFormatting sqref="H1:H4">
    <cfRule type="containsText" dxfId="1173" priority="108" operator="containsText" text="COMPLETED">
      <formula>NOT(ISERROR(SEARCH("COMPLETED",H1)))</formula>
    </cfRule>
    <cfRule type="containsText" dxfId="1172" priority="109" operator="containsText" text="HOLD">
      <formula>NOT(ISERROR(SEARCH("HOLD",H1)))</formula>
    </cfRule>
    <cfRule type="containsText" dxfId="1171" priority="110" operator="containsText" text="NOT YET STARTED">
      <formula>NOT(ISERROR(SEARCH("NOT YET STARTED",H1)))</formula>
    </cfRule>
    <cfRule type="containsText" dxfId="1170" priority="111" operator="containsText" text="IN PROGRESS">
      <formula>NOT(ISERROR(SEARCH("IN PROGRESS",H1)))</formula>
    </cfRule>
  </conditionalFormatting>
  <conditionalFormatting sqref="H5">
    <cfRule type="containsText" dxfId="1169" priority="106" operator="containsText" text="HOLD">
      <formula>NOT(ISERROR(SEARCH("HOLD",I5)))</formula>
    </cfRule>
  </conditionalFormatting>
  <conditionalFormatting sqref="C338 H5:H397">
    <cfRule type="containsText" dxfId="1168" priority="114" operator="containsText" text="NOT YET STARTED">
      <formula>NOT(ISERROR(SEARCH("NOT YET STARTED",C5)))</formula>
    </cfRule>
    <cfRule type="containsText" dxfId="1167" priority="115" operator="containsText" text="IN PROGRESS">
      <formula>NOT(ISERROR(SEARCH("IN PROGRESS",C5)))</formula>
    </cfRule>
  </conditionalFormatting>
  <conditionalFormatting sqref="C338 H6:H397">
    <cfRule type="containsText" dxfId="1166" priority="112" operator="containsText" text="COMPLETED">
      <formula>NOT(ISERROR(SEARCH("COMPLETED",C6)))</formula>
    </cfRule>
    <cfRule type="containsText" dxfId="1165" priority="113" operator="containsText" text="HOLD">
      <formula>NOT(ISERROR(SEARCH("HOLD",C6)))</formula>
    </cfRule>
  </conditionalFormatting>
  <conditionalFormatting sqref="H345:H349">
    <cfRule type="expression" priority="124">
      <formula>SEARCH("BILLING DONE", $B343) &gt; 0</formula>
    </cfRule>
    <cfRule type="expression" dxfId="1164" priority="125">
      <formula>SEARCH("NOT BILLED", $B343) &gt; 0</formula>
    </cfRule>
  </conditionalFormatting>
  <conditionalFormatting sqref="H350:H351">
    <cfRule type="expression" priority="146">
      <formula>SEARCH("BILLING DONE", $B346) &gt; 0</formula>
    </cfRule>
    <cfRule type="expression" dxfId="1163" priority="147">
      <formula>SEARCH("NOT BILLED", $B346) &gt; 0</formula>
    </cfRule>
  </conditionalFormatting>
  <conditionalFormatting sqref="J142:J143">
    <cfRule type="expression" priority="1">
      <formula>SEARCH("BILLING DONE", $B142) &gt; 0</formula>
    </cfRule>
    <cfRule type="expression" dxfId="1162" priority="2">
      <formula>SEARCH("NOT BILLED", $B142) &gt; 0</formula>
    </cfRule>
  </conditionalFormatting>
  <dataValidations count="1">
    <dataValidation allowBlank="1" showInputMessage="1" showErrorMessage="1" promptTitle="DATE" prompt="JUST ENTER MM/DD" sqref="I49:I51 G49:G121 I123:I124 I114:I121 I101 I88:I91 I75:I79 I62:I63 I166:I184 G278:G284 I6:I20 G6:G47 I186:I188 G209:G276 G286:G290 G186:G207 G123:G164" xr:uid="{684A87DA-EC2B-490E-87D9-440B6F183168}">
      <formula1>0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90CC-A3AD-4867-AF9D-640971DD7E2A}">
  <dimension ref="F3:AF73"/>
  <sheetViews>
    <sheetView topLeftCell="O3" zoomScale="85" zoomScaleNormal="85" workbookViewId="0">
      <selection activeCell="AH20" sqref="AH20"/>
    </sheetView>
  </sheetViews>
  <sheetFormatPr defaultRowHeight="15" x14ac:dyDescent="0.25"/>
  <cols>
    <col min="6" max="6" width="17.7109375" customWidth="1"/>
    <col min="7" max="7" width="33.5703125" bestFit="1" customWidth="1"/>
    <col min="8" max="8" width="13.7109375" bestFit="1" customWidth="1"/>
    <col min="11" max="11" width="47" bestFit="1" customWidth="1"/>
    <col min="12" max="12" width="13.5703125" customWidth="1"/>
    <col min="13" max="13" width="10.7109375" bestFit="1" customWidth="1"/>
    <col min="14" max="14" width="35.85546875" bestFit="1" customWidth="1"/>
    <col min="15" max="15" width="15" bestFit="1" customWidth="1"/>
    <col min="16" max="16" width="15" customWidth="1"/>
    <col min="17" max="17" width="10.7109375" customWidth="1"/>
    <col min="18" max="18" width="31.28515625" bestFit="1" customWidth="1"/>
    <col min="19" max="19" width="14.140625" bestFit="1" customWidth="1"/>
    <col min="20" max="20" width="18" bestFit="1" customWidth="1"/>
    <col min="23" max="23" width="33.140625" bestFit="1" customWidth="1"/>
    <col min="24" max="24" width="13.7109375" bestFit="1" customWidth="1"/>
    <col min="29" max="29" width="31.28515625" bestFit="1" customWidth="1"/>
  </cols>
  <sheetData>
    <row r="3" spans="6:32" ht="18.75" x14ac:dyDescent="0.25">
      <c r="F3" s="108" t="s">
        <v>362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</row>
    <row r="4" spans="6:32" x14ac:dyDescent="0.25">
      <c r="F4" s="109" t="s">
        <v>20</v>
      </c>
      <c r="G4" s="110"/>
      <c r="H4" s="52" t="s">
        <v>363</v>
      </c>
      <c r="K4" s="53" t="s">
        <v>364</v>
      </c>
      <c r="L4" s="52" t="s">
        <v>363</v>
      </c>
      <c r="N4" s="54" t="s">
        <v>365</v>
      </c>
      <c r="O4" s="52" t="s">
        <v>363</v>
      </c>
      <c r="P4" s="52" t="s">
        <v>363</v>
      </c>
      <c r="R4" s="2" t="s">
        <v>25</v>
      </c>
      <c r="S4" s="52" t="s">
        <v>363</v>
      </c>
      <c r="W4" s="85" t="s">
        <v>496</v>
      </c>
      <c r="X4" s="52" t="s">
        <v>363</v>
      </c>
      <c r="Y4" t="s">
        <v>580</v>
      </c>
      <c r="AC4" s="85" t="s">
        <v>418</v>
      </c>
    </row>
    <row r="5" spans="6:32" x14ac:dyDescent="0.25">
      <c r="F5" s="2" t="s">
        <v>366</v>
      </c>
      <c r="G5" s="54" t="s">
        <v>367</v>
      </c>
      <c r="H5" s="55"/>
      <c r="I5" t="s">
        <v>368</v>
      </c>
      <c r="K5" s="89" t="s">
        <v>201</v>
      </c>
      <c r="L5" s="55" t="s">
        <v>495</v>
      </c>
      <c r="N5" s="86" t="s">
        <v>309</v>
      </c>
      <c r="O5" s="55">
        <v>46132</v>
      </c>
      <c r="P5" s="55">
        <v>46133</v>
      </c>
      <c r="R5" s="86" t="s">
        <v>274</v>
      </c>
      <c r="S5" s="55">
        <v>46134</v>
      </c>
      <c r="T5" t="s">
        <v>369</v>
      </c>
      <c r="W5" s="40" t="s">
        <v>606</v>
      </c>
      <c r="Y5" t="s">
        <v>370</v>
      </c>
      <c r="Z5">
        <v>4</v>
      </c>
      <c r="AC5" s="40" t="s">
        <v>432</v>
      </c>
      <c r="AE5" t="s">
        <v>372</v>
      </c>
      <c r="AF5">
        <v>6</v>
      </c>
    </row>
    <row r="6" spans="6:32" x14ac:dyDescent="0.25">
      <c r="F6" s="2" t="s">
        <v>366</v>
      </c>
      <c r="G6" s="54" t="s">
        <v>311</v>
      </c>
      <c r="H6" s="55"/>
      <c r="I6" t="s">
        <v>370</v>
      </c>
      <c r="K6" s="89" t="s">
        <v>203</v>
      </c>
      <c r="L6" s="55" t="s">
        <v>495</v>
      </c>
      <c r="M6" t="s">
        <v>370</v>
      </c>
      <c r="N6" s="86" t="s">
        <v>371</v>
      </c>
      <c r="O6" s="55" t="s">
        <v>495</v>
      </c>
      <c r="P6" s="55">
        <v>46143</v>
      </c>
      <c r="Q6" t="s">
        <v>372</v>
      </c>
      <c r="R6" s="86" t="s">
        <v>276</v>
      </c>
      <c r="S6" s="55">
        <v>46134</v>
      </c>
      <c r="T6" t="s">
        <v>369</v>
      </c>
      <c r="W6" s="40" t="s">
        <v>607</v>
      </c>
      <c r="Y6" t="s">
        <v>370</v>
      </c>
      <c r="Z6">
        <v>4</v>
      </c>
      <c r="AC6" s="40" t="s">
        <v>433</v>
      </c>
      <c r="AE6" t="s">
        <v>384</v>
      </c>
      <c r="AF6">
        <v>5</v>
      </c>
    </row>
    <row r="7" spans="6:32" x14ac:dyDescent="0.25">
      <c r="F7" s="2" t="s">
        <v>366</v>
      </c>
      <c r="G7" s="54" t="s">
        <v>373</v>
      </c>
      <c r="H7" s="55"/>
      <c r="I7" t="s">
        <v>374</v>
      </c>
      <c r="K7" s="89" t="s">
        <v>206</v>
      </c>
      <c r="L7" s="55" t="s">
        <v>495</v>
      </c>
      <c r="M7" t="s">
        <v>375</v>
      </c>
      <c r="N7" s="86" t="s">
        <v>310</v>
      </c>
      <c r="O7" s="55">
        <v>46136</v>
      </c>
      <c r="P7" s="55">
        <v>46139</v>
      </c>
      <c r="Q7" t="s">
        <v>370</v>
      </c>
      <c r="R7" s="86" t="s">
        <v>278</v>
      </c>
      <c r="S7" s="55">
        <v>46141</v>
      </c>
      <c r="T7" t="s">
        <v>376</v>
      </c>
      <c r="W7" s="40" t="s">
        <v>604</v>
      </c>
      <c r="Y7" t="s">
        <v>370</v>
      </c>
      <c r="Z7">
        <v>4</v>
      </c>
      <c r="AC7" s="40" t="s">
        <v>434</v>
      </c>
      <c r="AE7" t="s">
        <v>368</v>
      </c>
      <c r="AF7">
        <v>2</v>
      </c>
    </row>
    <row r="8" spans="6:32" x14ac:dyDescent="0.25">
      <c r="F8" s="2" t="s">
        <v>366</v>
      </c>
      <c r="G8" s="54" t="s">
        <v>377</v>
      </c>
      <c r="H8" s="55"/>
      <c r="I8" t="s">
        <v>374</v>
      </c>
      <c r="K8" s="89" t="s">
        <v>208</v>
      </c>
      <c r="L8" s="55" t="s">
        <v>495</v>
      </c>
      <c r="M8" t="s">
        <v>378</v>
      </c>
      <c r="N8" s="86" t="s">
        <v>311</v>
      </c>
      <c r="O8" s="55">
        <v>46139</v>
      </c>
      <c r="P8" s="55">
        <v>46150</v>
      </c>
      <c r="Q8" t="s">
        <v>372</v>
      </c>
      <c r="R8" s="86" t="s">
        <v>280</v>
      </c>
      <c r="S8" s="55">
        <v>46142</v>
      </c>
      <c r="T8" t="s">
        <v>378</v>
      </c>
      <c r="W8" s="40" t="s">
        <v>605</v>
      </c>
      <c r="Y8" t="s">
        <v>370</v>
      </c>
      <c r="Z8">
        <v>4</v>
      </c>
      <c r="AC8" s="40" t="s">
        <v>435</v>
      </c>
      <c r="AE8" t="s">
        <v>368</v>
      </c>
      <c r="AF8">
        <v>2</v>
      </c>
    </row>
    <row r="9" spans="6:32" x14ac:dyDescent="0.25">
      <c r="F9" s="2" t="s">
        <v>366</v>
      </c>
      <c r="G9" s="54" t="s">
        <v>379</v>
      </c>
      <c r="H9" s="55"/>
      <c r="I9" t="s">
        <v>374</v>
      </c>
      <c r="K9" s="89" t="s">
        <v>211</v>
      </c>
      <c r="L9" s="55" t="s">
        <v>495</v>
      </c>
      <c r="M9" t="s">
        <v>375</v>
      </c>
      <c r="N9" s="86" t="s">
        <v>312</v>
      </c>
      <c r="O9" s="55">
        <v>46142</v>
      </c>
      <c r="P9" s="111">
        <v>46157</v>
      </c>
      <c r="Q9" t="s">
        <v>368</v>
      </c>
      <c r="R9" s="54" t="s">
        <v>281</v>
      </c>
      <c r="S9" s="55">
        <v>46143</v>
      </c>
      <c r="T9" s="56" t="s">
        <v>378</v>
      </c>
      <c r="W9" s="40" t="s">
        <v>578</v>
      </c>
      <c r="Y9" t="s">
        <v>370</v>
      </c>
      <c r="Z9">
        <v>4</v>
      </c>
      <c r="AC9" s="40" t="s">
        <v>436</v>
      </c>
      <c r="AE9" t="s">
        <v>368</v>
      </c>
      <c r="AF9">
        <v>2</v>
      </c>
    </row>
    <row r="10" spans="6:32" x14ac:dyDescent="0.25">
      <c r="F10" s="2" t="s">
        <v>366</v>
      </c>
      <c r="G10" s="54" t="s">
        <v>380</v>
      </c>
      <c r="H10" s="55"/>
      <c r="I10" t="s">
        <v>374</v>
      </c>
      <c r="K10" s="89" t="s">
        <v>213</v>
      </c>
      <c r="L10" s="55" t="s">
        <v>495</v>
      </c>
      <c r="M10" t="s">
        <v>372</v>
      </c>
      <c r="N10" s="86" t="s">
        <v>313</v>
      </c>
      <c r="O10" s="55">
        <v>46146</v>
      </c>
      <c r="P10" s="112"/>
      <c r="Q10" t="s">
        <v>375</v>
      </c>
      <c r="R10" s="54" t="s">
        <v>282</v>
      </c>
      <c r="S10" s="55">
        <v>46148</v>
      </c>
      <c r="T10" s="56" t="s">
        <v>375</v>
      </c>
      <c r="W10" s="40" t="s">
        <v>579</v>
      </c>
      <c r="Y10" t="s">
        <v>370</v>
      </c>
      <c r="Z10">
        <v>4</v>
      </c>
      <c r="AC10" s="40" t="s">
        <v>437</v>
      </c>
      <c r="AE10" t="s">
        <v>368</v>
      </c>
      <c r="AF10">
        <v>2</v>
      </c>
    </row>
    <row r="11" spans="6:32" x14ac:dyDescent="0.25">
      <c r="F11" s="2" t="s">
        <v>366</v>
      </c>
      <c r="G11" s="54" t="s">
        <v>381</v>
      </c>
      <c r="H11" s="55"/>
      <c r="I11" t="s">
        <v>374</v>
      </c>
      <c r="K11" s="89" t="s">
        <v>216</v>
      </c>
      <c r="L11" s="55" t="s">
        <v>495</v>
      </c>
      <c r="M11" t="s">
        <v>375</v>
      </c>
      <c r="N11" s="86" t="s">
        <v>314</v>
      </c>
      <c r="O11" s="55">
        <v>46147</v>
      </c>
      <c r="P11" s="113"/>
      <c r="Q11" t="s">
        <v>368</v>
      </c>
      <c r="R11" s="54" t="s">
        <v>283</v>
      </c>
      <c r="S11" s="55">
        <v>46151</v>
      </c>
      <c r="T11" s="56" t="s">
        <v>370</v>
      </c>
      <c r="W11" s="40" t="s">
        <v>522</v>
      </c>
      <c r="Y11" t="s">
        <v>375</v>
      </c>
      <c r="Z11">
        <v>3</v>
      </c>
      <c r="AC11" s="40" t="s">
        <v>438</v>
      </c>
      <c r="AE11" t="s">
        <v>384</v>
      </c>
      <c r="AF11">
        <v>5</v>
      </c>
    </row>
    <row r="12" spans="6:32" x14ac:dyDescent="0.25">
      <c r="F12" s="2" t="s">
        <v>366</v>
      </c>
      <c r="G12" s="54" t="s">
        <v>382</v>
      </c>
      <c r="H12" s="55"/>
      <c r="I12" t="s">
        <v>374</v>
      </c>
      <c r="K12" s="89" t="s">
        <v>219</v>
      </c>
      <c r="L12" s="55">
        <v>46161</v>
      </c>
      <c r="M12" t="s">
        <v>372</v>
      </c>
      <c r="N12" s="91" t="s">
        <v>316</v>
      </c>
      <c r="O12" s="92">
        <v>46150</v>
      </c>
      <c r="P12" s="111">
        <v>46167</v>
      </c>
      <c r="Q12" t="s">
        <v>374</v>
      </c>
      <c r="R12" s="86" t="s">
        <v>284</v>
      </c>
      <c r="S12" s="55">
        <v>46136</v>
      </c>
      <c r="T12" s="56" t="s">
        <v>370</v>
      </c>
      <c r="W12" s="40" t="s">
        <v>523</v>
      </c>
      <c r="Y12" t="s">
        <v>375</v>
      </c>
      <c r="Z12">
        <v>3</v>
      </c>
      <c r="AC12" s="40" t="s">
        <v>439</v>
      </c>
      <c r="AE12" t="s">
        <v>370</v>
      </c>
      <c r="AF12">
        <v>4</v>
      </c>
    </row>
    <row r="13" spans="6:32" x14ac:dyDescent="0.25">
      <c r="F13" s="2" t="s">
        <v>366</v>
      </c>
      <c r="G13" s="54" t="s">
        <v>383</v>
      </c>
      <c r="H13" s="55"/>
      <c r="I13" t="s">
        <v>374</v>
      </c>
      <c r="K13" s="89" t="s">
        <v>221</v>
      </c>
      <c r="L13" s="55">
        <v>46161</v>
      </c>
      <c r="M13" t="s">
        <v>368</v>
      </c>
      <c r="N13" s="91" t="s">
        <v>318</v>
      </c>
      <c r="O13" s="92">
        <v>46153</v>
      </c>
      <c r="P13" s="112"/>
      <c r="Q13" t="s">
        <v>374</v>
      </c>
      <c r="R13" s="86" t="s">
        <v>285</v>
      </c>
      <c r="S13" s="52"/>
      <c r="T13" s="56" t="s">
        <v>368</v>
      </c>
      <c r="W13" s="40" t="s">
        <v>528</v>
      </c>
      <c r="Y13" t="s">
        <v>384</v>
      </c>
      <c r="Z13">
        <v>5</v>
      </c>
      <c r="AC13" s="40" t="s">
        <v>440</v>
      </c>
      <c r="AE13" t="s">
        <v>378</v>
      </c>
      <c r="AF13">
        <v>1</v>
      </c>
    </row>
    <row r="14" spans="6:32" x14ac:dyDescent="0.25">
      <c r="F14" s="2" t="s">
        <v>366</v>
      </c>
      <c r="G14" s="54" t="s">
        <v>328</v>
      </c>
      <c r="H14" s="55"/>
      <c r="I14" t="s">
        <v>370</v>
      </c>
      <c r="K14" s="90" t="s">
        <v>223</v>
      </c>
      <c r="L14" s="55">
        <v>46168</v>
      </c>
      <c r="M14" t="s">
        <v>384</v>
      </c>
      <c r="N14" s="57" t="s">
        <v>320</v>
      </c>
      <c r="O14" s="55">
        <v>46157</v>
      </c>
      <c r="P14" s="112"/>
      <c r="Q14" t="s">
        <v>374</v>
      </c>
      <c r="R14" s="86" t="s">
        <v>286</v>
      </c>
      <c r="S14" s="52"/>
      <c r="T14" s="56" t="s">
        <v>370</v>
      </c>
      <c r="W14" s="40" t="s">
        <v>529</v>
      </c>
      <c r="Y14" t="s">
        <v>384</v>
      </c>
      <c r="Z14">
        <v>5</v>
      </c>
      <c r="AC14" s="40" t="s">
        <v>441</v>
      </c>
      <c r="AE14" t="s">
        <v>378</v>
      </c>
      <c r="AF14">
        <v>1</v>
      </c>
    </row>
    <row r="15" spans="6:32" x14ac:dyDescent="0.25">
      <c r="F15" s="58" t="s">
        <v>385</v>
      </c>
      <c r="G15" s="59" t="s">
        <v>386</v>
      </c>
      <c r="H15" s="55"/>
      <c r="I15" t="s">
        <v>370</v>
      </c>
      <c r="K15" s="54" t="s">
        <v>225</v>
      </c>
      <c r="L15" s="111">
        <v>46192</v>
      </c>
      <c r="N15" s="57" t="s">
        <v>321</v>
      </c>
      <c r="O15" s="55">
        <v>46163</v>
      </c>
      <c r="P15" s="112"/>
      <c r="Q15" t="s">
        <v>374</v>
      </c>
      <c r="R15" s="86" t="s">
        <v>287</v>
      </c>
      <c r="S15" s="52"/>
      <c r="T15" s="56" t="s">
        <v>368</v>
      </c>
      <c r="W15" s="40" t="s">
        <v>526</v>
      </c>
      <c r="Y15" t="s">
        <v>384</v>
      </c>
      <c r="Z15">
        <v>5</v>
      </c>
      <c r="AC15" s="40" t="s">
        <v>442</v>
      </c>
      <c r="AE15" t="s">
        <v>378</v>
      </c>
      <c r="AF15">
        <v>1</v>
      </c>
    </row>
    <row r="16" spans="6:32" x14ac:dyDescent="0.25">
      <c r="F16" s="2" t="s">
        <v>385</v>
      </c>
      <c r="G16" s="54" t="s">
        <v>367</v>
      </c>
      <c r="H16" s="55"/>
      <c r="I16" t="s">
        <v>368</v>
      </c>
      <c r="K16" s="54" t="s">
        <v>227</v>
      </c>
      <c r="L16" s="112"/>
      <c r="N16" s="57" t="s">
        <v>322</v>
      </c>
      <c r="O16" s="55">
        <v>46167</v>
      </c>
      <c r="P16" s="113"/>
      <c r="Q16" t="s">
        <v>374</v>
      </c>
      <c r="R16" s="86" t="s">
        <v>288</v>
      </c>
      <c r="S16" s="52"/>
      <c r="T16" s="56" t="s">
        <v>370</v>
      </c>
      <c r="W16" s="40" t="s">
        <v>527</v>
      </c>
      <c r="Y16" t="s">
        <v>384</v>
      </c>
      <c r="Z16">
        <v>5</v>
      </c>
      <c r="AC16" s="40" t="s">
        <v>443</v>
      </c>
      <c r="AE16" t="s">
        <v>378</v>
      </c>
      <c r="AF16">
        <v>1</v>
      </c>
    </row>
    <row r="17" spans="6:32" x14ac:dyDescent="0.25">
      <c r="F17" s="2" t="s">
        <v>385</v>
      </c>
      <c r="G17" s="54" t="s">
        <v>311</v>
      </c>
      <c r="H17" s="55"/>
      <c r="I17" t="s">
        <v>370</v>
      </c>
      <c r="K17" s="54" t="s">
        <v>229</v>
      </c>
      <c r="L17" s="112"/>
      <c r="N17" s="60" t="s">
        <v>323</v>
      </c>
      <c r="O17" s="55">
        <v>46174</v>
      </c>
      <c r="P17" s="111">
        <v>46190</v>
      </c>
      <c r="Q17" t="s">
        <v>374</v>
      </c>
      <c r="R17" s="54" t="s">
        <v>289</v>
      </c>
      <c r="S17" s="52"/>
      <c r="T17" s="56" t="s">
        <v>368</v>
      </c>
      <c r="W17" s="40" t="s">
        <v>524</v>
      </c>
      <c r="Y17" t="s">
        <v>384</v>
      </c>
      <c r="Z17">
        <v>5</v>
      </c>
      <c r="AC17" s="40" t="s">
        <v>589</v>
      </c>
      <c r="AE17" t="s">
        <v>378</v>
      </c>
      <c r="AF17">
        <v>1</v>
      </c>
    </row>
    <row r="18" spans="6:32" x14ac:dyDescent="0.25">
      <c r="F18" s="2" t="s">
        <v>385</v>
      </c>
      <c r="G18" s="54" t="s">
        <v>373</v>
      </c>
      <c r="H18" s="55"/>
      <c r="I18" t="s">
        <v>374</v>
      </c>
      <c r="K18" s="54" t="s">
        <v>231</v>
      </c>
      <c r="L18" s="112"/>
      <c r="N18" s="60" t="s">
        <v>324</v>
      </c>
      <c r="O18" s="55">
        <v>46176</v>
      </c>
      <c r="P18" s="112"/>
      <c r="Q18" t="s">
        <v>374</v>
      </c>
      <c r="R18" s="54" t="s">
        <v>290</v>
      </c>
      <c r="S18" s="52"/>
      <c r="T18" s="56" t="s">
        <v>370</v>
      </c>
      <c r="W18" s="40" t="s">
        <v>525</v>
      </c>
      <c r="Y18" t="s">
        <v>384</v>
      </c>
      <c r="Z18">
        <v>5</v>
      </c>
      <c r="AC18" s="40" t="s">
        <v>588</v>
      </c>
      <c r="AE18" t="s">
        <v>375</v>
      </c>
      <c r="AF18">
        <v>3</v>
      </c>
    </row>
    <row r="19" spans="6:32" x14ac:dyDescent="0.25">
      <c r="F19" s="2" t="s">
        <v>385</v>
      </c>
      <c r="G19" s="54" t="s">
        <v>377</v>
      </c>
      <c r="H19" s="55"/>
      <c r="I19" t="s">
        <v>374</v>
      </c>
      <c r="K19" s="54" t="s">
        <v>233</v>
      </c>
      <c r="L19" s="112"/>
      <c r="N19" s="60" t="s">
        <v>325</v>
      </c>
      <c r="O19" s="55">
        <v>46181</v>
      </c>
      <c r="P19" s="112"/>
      <c r="Q19" t="s">
        <v>374</v>
      </c>
      <c r="R19" s="54" t="s">
        <v>291</v>
      </c>
      <c r="S19" s="52"/>
      <c r="T19" s="56" t="s">
        <v>368</v>
      </c>
      <c r="W19" s="40" t="s">
        <v>518</v>
      </c>
      <c r="Y19" t="s">
        <v>384</v>
      </c>
      <c r="Z19">
        <v>5</v>
      </c>
      <c r="AC19" s="40" t="s">
        <v>444</v>
      </c>
      <c r="AE19" t="s">
        <v>384</v>
      </c>
      <c r="AF19">
        <v>5</v>
      </c>
    </row>
    <row r="20" spans="6:32" x14ac:dyDescent="0.25">
      <c r="F20" s="2" t="s">
        <v>385</v>
      </c>
      <c r="G20" s="54" t="s">
        <v>379</v>
      </c>
      <c r="H20" s="55"/>
      <c r="I20" t="s">
        <v>374</v>
      </c>
      <c r="K20" s="54" t="s">
        <v>235</v>
      </c>
      <c r="L20" s="112"/>
      <c r="N20" s="60" t="s">
        <v>326</v>
      </c>
      <c r="O20" s="55">
        <v>46183</v>
      </c>
      <c r="P20" s="112"/>
      <c r="Q20" t="s">
        <v>374</v>
      </c>
      <c r="R20" s="54" t="s">
        <v>292</v>
      </c>
      <c r="S20" s="52"/>
      <c r="T20" s="56" t="s">
        <v>368</v>
      </c>
      <c r="W20" s="40" t="s">
        <v>502</v>
      </c>
      <c r="Y20" t="s">
        <v>608</v>
      </c>
      <c r="Z20">
        <v>14</v>
      </c>
      <c r="AC20" s="40" t="s">
        <v>445</v>
      </c>
      <c r="AE20" t="s">
        <v>384</v>
      </c>
      <c r="AF20">
        <v>5</v>
      </c>
    </row>
    <row r="21" spans="6:32" x14ac:dyDescent="0.25">
      <c r="F21" s="2" t="s">
        <v>385</v>
      </c>
      <c r="G21" s="54" t="s">
        <v>380</v>
      </c>
      <c r="H21" s="55"/>
      <c r="I21" t="s">
        <v>374</v>
      </c>
      <c r="K21" s="54" t="s">
        <v>237</v>
      </c>
      <c r="L21" s="112"/>
      <c r="N21" s="60" t="s">
        <v>327</v>
      </c>
      <c r="O21" s="55">
        <v>46188</v>
      </c>
      <c r="P21" s="112"/>
      <c r="Q21" t="s">
        <v>368</v>
      </c>
      <c r="R21" s="54" t="s">
        <v>293</v>
      </c>
      <c r="S21" s="52"/>
      <c r="T21" s="56" t="s">
        <v>378</v>
      </c>
      <c r="W21" s="40" t="s">
        <v>503</v>
      </c>
      <c r="Y21" t="s">
        <v>609</v>
      </c>
      <c r="Z21">
        <v>10</v>
      </c>
      <c r="AC21" s="40" t="s">
        <v>447</v>
      </c>
      <c r="AE21" t="s">
        <v>368</v>
      </c>
      <c r="AF21">
        <v>2</v>
      </c>
    </row>
    <row r="22" spans="6:32" x14ac:dyDescent="0.25">
      <c r="F22" s="2" t="s">
        <v>385</v>
      </c>
      <c r="G22" s="54" t="s">
        <v>381</v>
      </c>
      <c r="H22" s="55"/>
      <c r="I22" t="s">
        <v>374</v>
      </c>
      <c r="K22" s="54" t="s">
        <v>239</v>
      </c>
      <c r="L22" s="112"/>
      <c r="N22" s="60" t="s">
        <v>328</v>
      </c>
      <c r="O22" s="55">
        <v>46190</v>
      </c>
      <c r="P22" s="113"/>
      <c r="Q22" t="s">
        <v>370</v>
      </c>
      <c r="R22" s="54" t="s">
        <v>294</v>
      </c>
      <c r="S22" s="52"/>
      <c r="T22" s="56" t="s">
        <v>368</v>
      </c>
      <c r="W22" s="40" t="s">
        <v>504</v>
      </c>
      <c r="Y22" t="s">
        <v>370</v>
      </c>
      <c r="Z22">
        <v>4</v>
      </c>
      <c r="AC22" s="40" t="s">
        <v>446</v>
      </c>
      <c r="AE22" t="s">
        <v>368</v>
      </c>
      <c r="AF22">
        <v>2</v>
      </c>
    </row>
    <row r="23" spans="6:32" x14ac:dyDescent="0.25">
      <c r="F23" s="2" t="s">
        <v>385</v>
      </c>
      <c r="G23" s="54" t="s">
        <v>382</v>
      </c>
      <c r="H23" s="55"/>
      <c r="I23" t="s">
        <v>374</v>
      </c>
      <c r="K23" s="54" t="s">
        <v>241</v>
      </c>
      <c r="L23" s="112"/>
      <c r="R23" s="54" t="s">
        <v>295</v>
      </c>
      <c r="S23" s="52"/>
      <c r="T23" s="56" t="s">
        <v>368</v>
      </c>
      <c r="W23" s="40" t="s">
        <v>511</v>
      </c>
      <c r="Y23" t="s">
        <v>375</v>
      </c>
      <c r="Z23">
        <v>3</v>
      </c>
      <c r="AC23" s="40" t="s">
        <v>448</v>
      </c>
      <c r="AE23" t="s">
        <v>368</v>
      </c>
      <c r="AF23">
        <v>2</v>
      </c>
    </row>
    <row r="24" spans="6:32" x14ac:dyDescent="0.25">
      <c r="F24" s="2" t="s">
        <v>385</v>
      </c>
      <c r="G24" s="54" t="s">
        <v>383</v>
      </c>
      <c r="H24" s="55"/>
      <c r="I24" t="s">
        <v>374</v>
      </c>
      <c r="K24" s="54" t="s">
        <v>243</v>
      </c>
      <c r="L24" s="112"/>
      <c r="R24" s="54" t="s">
        <v>295</v>
      </c>
      <c r="S24" s="52"/>
      <c r="T24" s="56" t="s">
        <v>368</v>
      </c>
      <c r="W24" s="40" t="s">
        <v>505</v>
      </c>
      <c r="Y24" t="s">
        <v>375</v>
      </c>
      <c r="Z24">
        <v>3</v>
      </c>
      <c r="AC24" s="40" t="s">
        <v>449</v>
      </c>
      <c r="AE24" t="s">
        <v>368</v>
      </c>
      <c r="AF24">
        <v>2</v>
      </c>
    </row>
    <row r="25" spans="6:32" x14ac:dyDescent="0.25">
      <c r="F25" s="2" t="s">
        <v>385</v>
      </c>
      <c r="G25" s="54" t="s">
        <v>328</v>
      </c>
      <c r="H25" s="55"/>
      <c r="I25" t="s">
        <v>387</v>
      </c>
      <c r="K25" s="54" t="s">
        <v>245</v>
      </c>
      <c r="L25" s="112"/>
      <c r="N25" s="61" t="s">
        <v>356</v>
      </c>
      <c r="R25" s="54" t="s">
        <v>296</v>
      </c>
      <c r="S25" s="52"/>
      <c r="T25" s="56" t="s">
        <v>368</v>
      </c>
      <c r="W25" s="40" t="s">
        <v>512</v>
      </c>
      <c r="Y25" t="s">
        <v>375</v>
      </c>
      <c r="Z25">
        <v>3</v>
      </c>
      <c r="AC25" s="40" t="s">
        <v>450</v>
      </c>
      <c r="AE25" t="s">
        <v>370</v>
      </c>
      <c r="AF25">
        <v>4</v>
      </c>
    </row>
    <row r="26" spans="6:32" x14ac:dyDescent="0.25">
      <c r="F26" s="2" t="s">
        <v>388</v>
      </c>
      <c r="G26" s="54" t="s">
        <v>373</v>
      </c>
      <c r="H26" s="55"/>
      <c r="I26" t="s">
        <v>374</v>
      </c>
      <c r="K26" s="54" t="s">
        <v>247</v>
      </c>
      <c r="L26" s="112"/>
      <c r="R26" s="54" t="s">
        <v>297</v>
      </c>
      <c r="S26" s="52"/>
      <c r="T26" s="56" t="s">
        <v>368</v>
      </c>
      <c r="W26" s="40" t="s">
        <v>506</v>
      </c>
      <c r="Y26" t="s">
        <v>375</v>
      </c>
      <c r="Z26">
        <v>3</v>
      </c>
      <c r="AC26" s="40" t="s">
        <v>451</v>
      </c>
      <c r="AE26" t="s">
        <v>370</v>
      </c>
      <c r="AF26">
        <v>4</v>
      </c>
    </row>
    <row r="27" spans="6:32" x14ac:dyDescent="0.25">
      <c r="F27" s="2" t="s">
        <v>388</v>
      </c>
      <c r="G27" s="86" t="s">
        <v>377</v>
      </c>
      <c r="H27" s="55">
        <v>46160</v>
      </c>
      <c r="I27" t="s">
        <v>374</v>
      </c>
      <c r="K27" s="54" t="s">
        <v>249</v>
      </c>
      <c r="L27" s="113"/>
      <c r="R27" s="54" t="s">
        <v>298</v>
      </c>
      <c r="S27" s="52"/>
      <c r="T27" s="56" t="s">
        <v>368</v>
      </c>
      <c r="W27" s="40" t="s">
        <v>513</v>
      </c>
      <c r="Y27" t="s">
        <v>375</v>
      </c>
      <c r="Z27">
        <v>3</v>
      </c>
      <c r="AC27" s="40" t="s">
        <v>452</v>
      </c>
      <c r="AE27" t="s">
        <v>378</v>
      </c>
      <c r="AF27">
        <v>1</v>
      </c>
    </row>
    <row r="28" spans="6:32" x14ac:dyDescent="0.25">
      <c r="F28" s="2" t="s">
        <v>388</v>
      </c>
      <c r="G28" s="54" t="s">
        <v>379</v>
      </c>
      <c r="H28" s="55"/>
      <c r="I28" t="s">
        <v>374</v>
      </c>
      <c r="R28" s="54" t="s">
        <v>299</v>
      </c>
      <c r="S28" s="52"/>
      <c r="T28" s="56" t="s">
        <v>368</v>
      </c>
      <c r="W28" s="40" t="s">
        <v>507</v>
      </c>
      <c r="Y28" t="s">
        <v>375</v>
      </c>
      <c r="Z28">
        <v>3</v>
      </c>
      <c r="AC28" s="40" t="s">
        <v>453</v>
      </c>
      <c r="AE28" t="s">
        <v>378</v>
      </c>
      <c r="AF28">
        <v>1</v>
      </c>
    </row>
    <row r="29" spans="6:32" x14ac:dyDescent="0.25">
      <c r="F29" s="2" t="s">
        <v>388</v>
      </c>
      <c r="G29" s="86" t="s">
        <v>380</v>
      </c>
      <c r="H29" s="55"/>
      <c r="I29" t="s">
        <v>374</v>
      </c>
      <c r="R29" s="54" t="s">
        <v>300</v>
      </c>
      <c r="S29" s="52"/>
      <c r="T29" t="s">
        <v>374</v>
      </c>
      <c r="W29" s="40" t="s">
        <v>514</v>
      </c>
      <c r="Y29" t="s">
        <v>375</v>
      </c>
      <c r="Z29">
        <v>3</v>
      </c>
      <c r="AC29" s="40" t="s">
        <v>454</v>
      </c>
      <c r="AE29" t="s">
        <v>378</v>
      </c>
      <c r="AF29">
        <v>1</v>
      </c>
    </row>
    <row r="30" spans="6:32" x14ac:dyDescent="0.25">
      <c r="F30" s="2" t="s">
        <v>388</v>
      </c>
      <c r="G30" s="54" t="s">
        <v>381</v>
      </c>
      <c r="H30" s="55"/>
      <c r="I30" t="s">
        <v>374</v>
      </c>
      <c r="R30" s="54" t="s">
        <v>301</v>
      </c>
      <c r="S30" s="52"/>
      <c r="T30" t="s">
        <v>374</v>
      </c>
      <c r="W30" s="40" t="s">
        <v>508</v>
      </c>
      <c r="Y30" t="s">
        <v>375</v>
      </c>
      <c r="Z30">
        <v>3</v>
      </c>
      <c r="AC30" s="40" t="s">
        <v>455</v>
      </c>
      <c r="AE30" t="s">
        <v>378</v>
      </c>
      <c r="AF30">
        <v>1</v>
      </c>
    </row>
    <row r="31" spans="6:32" x14ac:dyDescent="0.25">
      <c r="F31" s="2" t="s">
        <v>388</v>
      </c>
      <c r="G31" s="86" t="s">
        <v>382</v>
      </c>
      <c r="H31" s="55"/>
      <c r="I31" t="s">
        <v>374</v>
      </c>
      <c r="R31" s="54" t="s">
        <v>302</v>
      </c>
      <c r="S31" s="52"/>
      <c r="T31" t="s">
        <v>374</v>
      </c>
      <c r="W31" s="40" t="s">
        <v>515</v>
      </c>
      <c r="Y31" t="s">
        <v>375</v>
      </c>
      <c r="Z31">
        <v>3</v>
      </c>
      <c r="AC31" s="40" t="s">
        <v>590</v>
      </c>
      <c r="AE31" t="s">
        <v>378</v>
      </c>
      <c r="AF31">
        <v>1</v>
      </c>
    </row>
    <row r="32" spans="6:32" x14ac:dyDescent="0.25">
      <c r="F32" s="2" t="s">
        <v>388</v>
      </c>
      <c r="G32" s="54" t="s">
        <v>383</v>
      </c>
      <c r="H32" s="55"/>
      <c r="I32" t="s">
        <v>374</v>
      </c>
      <c r="R32" s="54" t="s">
        <v>303</v>
      </c>
      <c r="S32" s="52"/>
      <c r="T32" t="s">
        <v>374</v>
      </c>
      <c r="W32" s="40" t="s">
        <v>509</v>
      </c>
      <c r="Y32" t="s">
        <v>375</v>
      </c>
      <c r="Z32">
        <v>3</v>
      </c>
      <c r="AC32" s="40" t="s">
        <v>591</v>
      </c>
      <c r="AE32" t="s">
        <v>375</v>
      </c>
      <c r="AF32">
        <v>3</v>
      </c>
    </row>
    <row r="33" spans="6:32" x14ac:dyDescent="0.25">
      <c r="F33" s="2" t="s">
        <v>388</v>
      </c>
      <c r="G33" s="54" t="s">
        <v>328</v>
      </c>
      <c r="H33" s="55"/>
      <c r="I33" t="s">
        <v>370</v>
      </c>
      <c r="R33" s="54" t="s">
        <v>304</v>
      </c>
      <c r="S33" s="52"/>
      <c r="T33" t="s">
        <v>374</v>
      </c>
      <c r="W33" s="40" t="s">
        <v>516</v>
      </c>
      <c r="Y33" t="s">
        <v>375</v>
      </c>
      <c r="Z33">
        <v>3</v>
      </c>
      <c r="AC33" s="40" t="s">
        <v>456</v>
      </c>
      <c r="AE33" t="s">
        <v>384</v>
      </c>
      <c r="AF33">
        <v>5</v>
      </c>
    </row>
    <row r="34" spans="6:32" x14ac:dyDescent="0.25">
      <c r="F34" s="2" t="s">
        <v>389</v>
      </c>
      <c r="G34" s="54" t="s">
        <v>373</v>
      </c>
      <c r="H34" s="55"/>
      <c r="I34" t="s">
        <v>368</v>
      </c>
      <c r="R34" s="54" t="s">
        <v>305</v>
      </c>
      <c r="S34" s="52"/>
      <c r="T34" t="s">
        <v>368</v>
      </c>
      <c r="W34" s="40" t="s">
        <v>510</v>
      </c>
      <c r="Y34" t="s">
        <v>384</v>
      </c>
      <c r="Z34">
        <v>5</v>
      </c>
      <c r="AC34" s="40" t="s">
        <v>467</v>
      </c>
      <c r="AE34" t="s">
        <v>384</v>
      </c>
      <c r="AF34">
        <v>5</v>
      </c>
    </row>
    <row r="35" spans="6:32" x14ac:dyDescent="0.25">
      <c r="F35" s="2" t="s">
        <v>389</v>
      </c>
      <c r="G35" s="86" t="s">
        <v>377</v>
      </c>
      <c r="H35" s="55"/>
      <c r="I35" t="s">
        <v>370</v>
      </c>
      <c r="W35" s="40" t="s">
        <v>517</v>
      </c>
      <c r="Y35" t="s">
        <v>384</v>
      </c>
      <c r="Z35">
        <v>5</v>
      </c>
      <c r="AC35" s="40" t="s">
        <v>457</v>
      </c>
      <c r="AE35" t="s">
        <v>368</v>
      </c>
      <c r="AF35">
        <v>2</v>
      </c>
    </row>
    <row r="36" spans="6:32" x14ac:dyDescent="0.25">
      <c r="F36" s="2" t="s">
        <v>389</v>
      </c>
      <c r="G36" s="54" t="s">
        <v>379</v>
      </c>
      <c r="H36" s="55"/>
      <c r="I36" t="s">
        <v>374</v>
      </c>
      <c r="W36" s="40" t="s">
        <v>501</v>
      </c>
      <c r="Y36" t="s">
        <v>384</v>
      </c>
      <c r="Z36">
        <v>5</v>
      </c>
      <c r="AC36" s="40" t="s">
        <v>458</v>
      </c>
      <c r="AE36" t="s">
        <v>368</v>
      </c>
      <c r="AF36">
        <v>2</v>
      </c>
    </row>
    <row r="37" spans="6:32" x14ac:dyDescent="0.25">
      <c r="F37" s="2" t="s">
        <v>389</v>
      </c>
      <c r="G37" s="86" t="s">
        <v>380</v>
      </c>
      <c r="H37" s="55"/>
      <c r="I37" t="s">
        <v>374</v>
      </c>
      <c r="Z37">
        <f>SUM(Z5:Z36)</f>
        <v>141</v>
      </c>
      <c r="AC37" s="40" t="s">
        <v>459</v>
      </c>
      <c r="AE37" t="s">
        <v>368</v>
      </c>
      <c r="AF37">
        <v>2</v>
      </c>
    </row>
    <row r="38" spans="6:32" x14ac:dyDescent="0.25">
      <c r="F38" s="2" t="s">
        <v>389</v>
      </c>
      <c r="G38" s="54" t="s">
        <v>381</v>
      </c>
      <c r="H38" s="55"/>
      <c r="I38" t="s">
        <v>374</v>
      </c>
      <c r="R38" t="s">
        <v>390</v>
      </c>
      <c r="Z38">
        <f>Z37/23</f>
        <v>6.1304347826086953</v>
      </c>
      <c r="AC38" s="40" t="s">
        <v>460</v>
      </c>
      <c r="AE38" t="s">
        <v>368</v>
      </c>
      <c r="AF38">
        <v>2</v>
      </c>
    </row>
    <row r="39" spans="6:32" x14ac:dyDescent="0.25">
      <c r="F39" s="2" t="s">
        <v>389</v>
      </c>
      <c r="G39" s="86" t="s">
        <v>382</v>
      </c>
      <c r="H39" s="55"/>
      <c r="I39" t="s">
        <v>374</v>
      </c>
      <c r="AC39" s="40" t="s">
        <v>461</v>
      </c>
      <c r="AE39" t="s">
        <v>370</v>
      </c>
      <c r="AF39">
        <v>4</v>
      </c>
    </row>
    <row r="40" spans="6:32" x14ac:dyDescent="0.25">
      <c r="F40" s="2" t="s">
        <v>389</v>
      </c>
      <c r="G40" s="54" t="s">
        <v>383</v>
      </c>
      <c r="H40" s="55"/>
      <c r="I40" t="s">
        <v>374</v>
      </c>
      <c r="AC40" s="40" t="s">
        <v>462</v>
      </c>
      <c r="AE40" t="s">
        <v>370</v>
      </c>
      <c r="AF40">
        <v>4</v>
      </c>
    </row>
    <row r="41" spans="6:32" x14ac:dyDescent="0.25">
      <c r="F41" s="2" t="s">
        <v>389</v>
      </c>
      <c r="G41" s="87" t="s">
        <v>328</v>
      </c>
      <c r="H41" s="55"/>
      <c r="I41" t="s">
        <v>370</v>
      </c>
      <c r="AC41" s="40" t="s">
        <v>463</v>
      </c>
      <c r="AE41" t="s">
        <v>378</v>
      </c>
      <c r="AF41">
        <v>1</v>
      </c>
    </row>
    <row r="42" spans="6:32" x14ac:dyDescent="0.25">
      <c r="F42" s="62" t="s">
        <v>391</v>
      </c>
      <c r="G42" s="63" t="s">
        <v>386</v>
      </c>
      <c r="H42" s="55">
        <v>46130</v>
      </c>
      <c r="I42" t="s">
        <v>392</v>
      </c>
      <c r="AC42" s="40" t="s">
        <v>464</v>
      </c>
      <c r="AE42" t="s">
        <v>378</v>
      </c>
      <c r="AF42">
        <v>1</v>
      </c>
    </row>
    <row r="43" spans="6:32" x14ac:dyDescent="0.25">
      <c r="F43" s="2" t="s">
        <v>391</v>
      </c>
      <c r="G43" s="54" t="s">
        <v>367</v>
      </c>
      <c r="H43" s="52"/>
      <c r="I43" t="s">
        <v>368</v>
      </c>
      <c r="AC43" s="40" t="s">
        <v>465</v>
      </c>
      <c r="AE43" t="s">
        <v>378</v>
      </c>
      <c r="AF43">
        <v>1</v>
      </c>
    </row>
    <row r="44" spans="6:32" x14ac:dyDescent="0.25">
      <c r="F44" s="2" t="s">
        <v>391</v>
      </c>
      <c r="G44" s="86" t="s">
        <v>311</v>
      </c>
      <c r="H44" s="55">
        <v>46136</v>
      </c>
      <c r="I44" t="s">
        <v>370</v>
      </c>
      <c r="AC44" s="40" t="s">
        <v>466</v>
      </c>
      <c r="AE44" t="s">
        <v>378</v>
      </c>
      <c r="AF44">
        <v>1</v>
      </c>
    </row>
    <row r="45" spans="6:32" x14ac:dyDescent="0.25">
      <c r="F45" s="2" t="s">
        <v>391</v>
      </c>
      <c r="G45" s="54" t="s">
        <v>373</v>
      </c>
      <c r="H45" s="52"/>
      <c r="I45" t="s">
        <v>374</v>
      </c>
      <c r="AC45" s="40" t="s">
        <v>592</v>
      </c>
      <c r="AE45" t="s">
        <v>378</v>
      </c>
      <c r="AF45">
        <v>1</v>
      </c>
    </row>
    <row r="46" spans="6:32" x14ac:dyDescent="0.25">
      <c r="F46" s="2" t="s">
        <v>391</v>
      </c>
      <c r="G46" s="86" t="s">
        <v>377</v>
      </c>
      <c r="H46" s="52"/>
      <c r="I46" t="s">
        <v>374</v>
      </c>
      <c r="AC46" s="40" t="s">
        <v>593</v>
      </c>
      <c r="AE46" t="s">
        <v>375</v>
      </c>
      <c r="AF46">
        <v>3</v>
      </c>
    </row>
    <row r="47" spans="6:32" x14ac:dyDescent="0.25">
      <c r="F47" s="2" t="s">
        <v>391</v>
      </c>
      <c r="G47" s="54" t="s">
        <v>379</v>
      </c>
      <c r="H47" s="52"/>
      <c r="I47" t="s">
        <v>374</v>
      </c>
      <c r="AC47" s="40" t="s">
        <v>477</v>
      </c>
      <c r="AE47" t="s">
        <v>384</v>
      </c>
      <c r="AF47">
        <v>5</v>
      </c>
    </row>
    <row r="48" spans="6:32" x14ac:dyDescent="0.25">
      <c r="F48" s="2" t="s">
        <v>391</v>
      </c>
      <c r="G48" s="86" t="s">
        <v>380</v>
      </c>
      <c r="H48" s="52"/>
      <c r="I48" t="s">
        <v>374</v>
      </c>
      <c r="N48" s="52" t="s">
        <v>393</v>
      </c>
      <c r="AC48" s="40" t="s">
        <v>468</v>
      </c>
      <c r="AE48" t="s">
        <v>384</v>
      </c>
      <c r="AF48">
        <v>5</v>
      </c>
    </row>
    <row r="49" spans="6:32" x14ac:dyDescent="0.25">
      <c r="F49" s="2" t="s">
        <v>391</v>
      </c>
      <c r="G49" s="54" t="s">
        <v>381</v>
      </c>
      <c r="H49" s="52"/>
      <c r="I49" t="s">
        <v>374</v>
      </c>
      <c r="N49" s="52" t="s">
        <v>394</v>
      </c>
      <c r="O49" t="s">
        <v>395</v>
      </c>
      <c r="AC49" s="40" t="s">
        <v>469</v>
      </c>
      <c r="AE49" t="s">
        <v>368</v>
      </c>
      <c r="AF49">
        <v>2</v>
      </c>
    </row>
    <row r="50" spans="6:32" x14ac:dyDescent="0.25">
      <c r="F50" s="2" t="s">
        <v>391</v>
      </c>
      <c r="G50" s="86" t="s">
        <v>382</v>
      </c>
      <c r="H50" s="52"/>
      <c r="I50" t="s">
        <v>374</v>
      </c>
      <c r="N50" s="52" t="s">
        <v>339</v>
      </c>
      <c r="O50" t="s">
        <v>396</v>
      </c>
      <c r="AC50" s="40" t="s">
        <v>470</v>
      </c>
      <c r="AE50" t="s">
        <v>368</v>
      </c>
      <c r="AF50">
        <v>2</v>
      </c>
    </row>
    <row r="51" spans="6:32" x14ac:dyDescent="0.25">
      <c r="F51" s="2" t="s">
        <v>391</v>
      </c>
      <c r="G51" s="54" t="s">
        <v>383</v>
      </c>
      <c r="H51" s="52"/>
      <c r="I51" t="s">
        <v>374</v>
      </c>
      <c r="N51" s="52" t="s">
        <v>338</v>
      </c>
      <c r="O51" t="s">
        <v>397</v>
      </c>
      <c r="AC51" s="40" t="s">
        <v>471</v>
      </c>
      <c r="AE51" t="s">
        <v>368</v>
      </c>
      <c r="AF51">
        <v>2</v>
      </c>
    </row>
    <row r="52" spans="6:32" x14ac:dyDescent="0.25">
      <c r="F52" s="2" t="s">
        <v>391</v>
      </c>
      <c r="G52" s="86" t="s">
        <v>328</v>
      </c>
      <c r="H52" s="52"/>
      <c r="I52" t="s">
        <v>370</v>
      </c>
      <c r="N52" s="52" t="s">
        <v>356</v>
      </c>
      <c r="O52" t="s">
        <v>398</v>
      </c>
      <c r="AC52" s="40" t="s">
        <v>472</v>
      </c>
      <c r="AE52" t="s">
        <v>370</v>
      </c>
      <c r="AF52">
        <v>4</v>
      </c>
    </row>
    <row r="53" spans="6:32" x14ac:dyDescent="0.25">
      <c r="N53" s="52" t="s">
        <v>361</v>
      </c>
      <c r="O53" t="s">
        <v>399</v>
      </c>
      <c r="AC53" s="40" t="s">
        <v>473</v>
      </c>
      <c r="AE53" t="s">
        <v>370</v>
      </c>
      <c r="AF53">
        <v>4</v>
      </c>
    </row>
    <row r="54" spans="6:32" x14ac:dyDescent="0.25">
      <c r="M54" t="s">
        <v>400</v>
      </c>
      <c r="AC54" s="40" t="s">
        <v>474</v>
      </c>
      <c r="AE54" t="s">
        <v>378</v>
      </c>
      <c r="AF54">
        <v>1</v>
      </c>
    </row>
    <row r="55" spans="6:32" x14ac:dyDescent="0.25">
      <c r="AC55" s="40" t="s">
        <v>475</v>
      </c>
      <c r="AE55" t="s">
        <v>378</v>
      </c>
      <c r="AF55">
        <v>1</v>
      </c>
    </row>
    <row r="56" spans="6:32" x14ac:dyDescent="0.25">
      <c r="N56" t="s">
        <v>401</v>
      </c>
      <c r="AC56" s="40" t="s">
        <v>476</v>
      </c>
      <c r="AE56" t="s">
        <v>378</v>
      </c>
      <c r="AF56">
        <v>1</v>
      </c>
    </row>
    <row r="57" spans="6:32" x14ac:dyDescent="0.25">
      <c r="G57" t="s">
        <v>402</v>
      </c>
      <c r="N57" t="s">
        <v>403</v>
      </c>
      <c r="AC57" s="40" t="s">
        <v>602</v>
      </c>
      <c r="AE57" t="s">
        <v>378</v>
      </c>
      <c r="AF57">
        <v>1</v>
      </c>
    </row>
    <row r="58" spans="6:32" x14ac:dyDescent="0.25">
      <c r="AC58" s="40" t="s">
        <v>603</v>
      </c>
      <c r="AE58" t="s">
        <v>375</v>
      </c>
      <c r="AF58">
        <v>3</v>
      </c>
    </row>
    <row r="59" spans="6:32" x14ac:dyDescent="0.25">
      <c r="AC59" s="40" t="s">
        <v>594</v>
      </c>
      <c r="AE59" t="s">
        <v>384</v>
      </c>
      <c r="AF59">
        <v>5</v>
      </c>
    </row>
    <row r="60" spans="6:32" x14ac:dyDescent="0.25">
      <c r="N60" t="s">
        <v>404</v>
      </c>
      <c r="AC60" s="40" t="s">
        <v>595</v>
      </c>
      <c r="AE60" t="s">
        <v>384</v>
      </c>
      <c r="AF60">
        <v>5</v>
      </c>
    </row>
    <row r="61" spans="6:32" x14ac:dyDescent="0.25">
      <c r="AC61" s="40" t="s">
        <v>596</v>
      </c>
      <c r="AE61" t="s">
        <v>368</v>
      </c>
      <c r="AF61">
        <v>2</v>
      </c>
    </row>
    <row r="62" spans="6:32" x14ac:dyDescent="0.25">
      <c r="AC62" s="40" t="s">
        <v>597</v>
      </c>
      <c r="AE62" t="s">
        <v>370</v>
      </c>
      <c r="AF62">
        <v>4</v>
      </c>
    </row>
    <row r="63" spans="6:32" x14ac:dyDescent="0.25">
      <c r="AC63" s="40" t="s">
        <v>598</v>
      </c>
      <c r="AE63" t="s">
        <v>370</v>
      </c>
      <c r="AF63">
        <v>4</v>
      </c>
    </row>
    <row r="64" spans="6:32" x14ac:dyDescent="0.25">
      <c r="AC64" s="40" t="s">
        <v>599</v>
      </c>
      <c r="AE64" t="s">
        <v>378</v>
      </c>
      <c r="AF64">
        <v>1</v>
      </c>
    </row>
    <row r="65" spans="29:32" x14ac:dyDescent="0.25">
      <c r="AC65" s="40" t="s">
        <v>601</v>
      </c>
      <c r="AE65" t="s">
        <v>378</v>
      </c>
      <c r="AF65">
        <v>1</v>
      </c>
    </row>
    <row r="66" spans="29:32" x14ac:dyDescent="0.25">
      <c r="AC66" s="40" t="s">
        <v>600</v>
      </c>
      <c r="AE66" t="s">
        <v>370</v>
      </c>
      <c r="AF66">
        <v>4</v>
      </c>
    </row>
    <row r="67" spans="29:32" x14ac:dyDescent="0.25">
      <c r="AC67" s="40" t="s">
        <v>478</v>
      </c>
      <c r="AE67" t="s">
        <v>375</v>
      </c>
      <c r="AF67">
        <v>3</v>
      </c>
    </row>
    <row r="68" spans="29:32" x14ac:dyDescent="0.25">
      <c r="AC68" s="40" t="s">
        <v>479</v>
      </c>
      <c r="AE68" t="s">
        <v>375</v>
      </c>
      <c r="AF68">
        <v>3</v>
      </c>
    </row>
    <row r="69" spans="29:32" x14ac:dyDescent="0.25">
      <c r="AC69" s="40" t="s">
        <v>480</v>
      </c>
      <c r="AE69" t="s">
        <v>375</v>
      </c>
      <c r="AF69">
        <v>3</v>
      </c>
    </row>
    <row r="70" spans="29:32" x14ac:dyDescent="0.25">
      <c r="AC70" s="40" t="s">
        <v>482</v>
      </c>
      <c r="AE70" t="s">
        <v>375</v>
      </c>
      <c r="AF70">
        <v>3</v>
      </c>
    </row>
    <row r="71" spans="29:32" x14ac:dyDescent="0.25">
      <c r="AC71" s="40" t="s">
        <v>481</v>
      </c>
      <c r="AE71" t="s">
        <v>378</v>
      </c>
      <c r="AF71">
        <v>1</v>
      </c>
    </row>
    <row r="72" spans="29:32" x14ac:dyDescent="0.25">
      <c r="AF72">
        <f>SUM(AF5:AF71)</f>
        <v>174</v>
      </c>
    </row>
    <row r="73" spans="29:32" x14ac:dyDescent="0.25">
      <c r="AF73">
        <v>6.1304347826086953</v>
      </c>
    </row>
  </sheetData>
  <mergeCells count="6">
    <mergeCell ref="F3:S3"/>
    <mergeCell ref="F4:G4"/>
    <mergeCell ref="P9:P11"/>
    <mergeCell ref="P12:P16"/>
    <mergeCell ref="L15:L27"/>
    <mergeCell ref="P17:P22"/>
  </mergeCells>
  <conditionalFormatting sqref="F4:F52">
    <cfRule type="expression" priority="11">
      <formula>SEARCH("BILLING DONE", #REF!) &gt; 0</formula>
    </cfRule>
    <cfRule type="expression" dxfId="1161" priority="12">
      <formula>SEARCH("NOT BILLED", #REF!) &gt; 0</formula>
    </cfRule>
  </conditionalFormatting>
  <conditionalFormatting sqref="R4">
    <cfRule type="expression" priority="9">
      <formula>SEARCH("BILLING DONE", #REF!) &gt; 0</formula>
    </cfRule>
    <cfRule type="expression" dxfId="1160" priority="10">
      <formula>SEARCH("NOT BILLED", #REF!) &gt; 0</formula>
    </cfRule>
  </conditionalFormatting>
  <conditionalFormatting sqref="W4">
    <cfRule type="expression" priority="5">
      <formula>SEARCH("BILLING DONE", #REF!) &gt; 0</formula>
    </cfRule>
    <cfRule type="expression" dxfId="1159" priority="6">
      <formula>SEARCH("NOT BILLED", #REF!) &gt; 0</formula>
    </cfRule>
  </conditionalFormatting>
  <conditionalFormatting sqref="W5:W36">
    <cfRule type="expression" priority="7">
      <formula>SEARCH("BILLING DONE", $B5) &gt; 0</formula>
    </cfRule>
    <cfRule type="expression" dxfId="1158" priority="8">
      <formula>SEARCH("NOT BILLED", $B5) &gt; 0</formula>
    </cfRule>
  </conditionalFormatting>
  <conditionalFormatting sqref="AC4:AC71">
    <cfRule type="expression" priority="1">
      <formula>SEARCH("BILLING DONE", $B4) &gt; 0</formula>
    </cfRule>
    <cfRule type="expression" dxfId="1157" priority="2">
      <formula>SEARCH("NOT BILLED", $B4) &gt; 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71A9-EDEF-404D-85FE-E3682DADA9F4}">
  <dimension ref="A1:J22"/>
  <sheetViews>
    <sheetView workbookViewId="0">
      <selection activeCell="C15" sqref="C15"/>
    </sheetView>
  </sheetViews>
  <sheetFormatPr defaultRowHeight="15" x14ac:dyDescent="0.25"/>
  <cols>
    <col min="2" max="2" width="39.42578125" bestFit="1" customWidth="1"/>
    <col min="3" max="3" width="31.28515625" bestFit="1" customWidth="1"/>
    <col min="4" max="4" width="12.140625" bestFit="1" customWidth="1"/>
    <col min="5" max="5" width="11" bestFit="1" customWidth="1"/>
    <col min="6" max="6" width="17.42578125" bestFit="1" customWidth="1"/>
    <col min="7" max="7" width="19.85546875" bestFit="1" customWidth="1"/>
    <col min="8" max="8" width="34.42578125" customWidth="1"/>
    <col min="9" max="9" width="16.42578125" bestFit="1" customWidth="1"/>
    <col min="10" max="10" width="128" bestFit="1" customWidth="1"/>
  </cols>
  <sheetData>
    <row r="1" spans="1:10" ht="48" thickBot="1" x14ac:dyDescent="0.3">
      <c r="A1" s="75" t="s">
        <v>552</v>
      </c>
      <c r="B1" s="76" t="s">
        <v>6</v>
      </c>
      <c r="C1" s="76" t="s">
        <v>544</v>
      </c>
      <c r="D1" s="76" t="s">
        <v>545</v>
      </c>
      <c r="E1" s="76" t="s">
        <v>17</v>
      </c>
      <c r="F1" s="77" t="s">
        <v>564</v>
      </c>
      <c r="G1" s="77" t="s">
        <v>565</v>
      </c>
      <c r="H1" s="77" t="s">
        <v>566</v>
      </c>
      <c r="I1" s="77" t="s">
        <v>551</v>
      </c>
      <c r="J1" s="78" t="s">
        <v>563</v>
      </c>
    </row>
    <row r="2" spans="1:10" x14ac:dyDescent="0.25">
      <c r="A2" s="70">
        <v>1</v>
      </c>
      <c r="B2" s="71" t="s">
        <v>530</v>
      </c>
      <c r="C2" s="72" t="s">
        <v>311</v>
      </c>
      <c r="D2" s="71" t="s">
        <v>531</v>
      </c>
      <c r="E2" s="70" t="s">
        <v>546</v>
      </c>
      <c r="F2" s="73">
        <v>46121</v>
      </c>
      <c r="G2" s="83">
        <v>0.72152777777777777</v>
      </c>
      <c r="H2" s="73" t="s">
        <v>567</v>
      </c>
      <c r="I2" s="73" t="s">
        <v>102</v>
      </c>
      <c r="J2" s="74" t="s">
        <v>553</v>
      </c>
    </row>
    <row r="3" spans="1:10" x14ac:dyDescent="0.25">
      <c r="A3" s="66">
        <v>2</v>
      </c>
      <c r="B3" s="64" t="s">
        <v>532</v>
      </c>
      <c r="C3" s="65" t="s">
        <v>316</v>
      </c>
      <c r="D3" s="64" t="s">
        <v>269</v>
      </c>
      <c r="E3" s="66" t="s">
        <v>547</v>
      </c>
      <c r="F3" s="67">
        <v>46123</v>
      </c>
      <c r="G3" s="79">
        <v>0.5</v>
      </c>
      <c r="H3" s="67" t="s">
        <v>567</v>
      </c>
      <c r="I3" s="67" t="s">
        <v>102</v>
      </c>
      <c r="J3" s="68" t="s">
        <v>554</v>
      </c>
    </row>
    <row r="4" spans="1:10" x14ac:dyDescent="0.25">
      <c r="A4" s="66">
        <v>3</v>
      </c>
      <c r="B4" s="64" t="s">
        <v>24</v>
      </c>
      <c r="C4" s="65" t="s">
        <v>533</v>
      </c>
      <c r="D4" s="64" t="s">
        <v>534</v>
      </c>
      <c r="E4" s="66" t="s">
        <v>548</v>
      </c>
      <c r="F4" s="80">
        <v>46123</v>
      </c>
      <c r="G4" s="81">
        <v>0.75</v>
      </c>
      <c r="H4" s="67" t="s">
        <v>568</v>
      </c>
      <c r="I4" s="67" t="s">
        <v>102</v>
      </c>
      <c r="J4" s="68" t="s">
        <v>555</v>
      </c>
    </row>
    <row r="5" spans="1:10" x14ac:dyDescent="0.25">
      <c r="A5" s="66">
        <v>4</v>
      </c>
      <c r="B5" s="64" t="s">
        <v>20</v>
      </c>
      <c r="C5" s="65" t="s">
        <v>309</v>
      </c>
      <c r="D5" s="64" t="s">
        <v>535</v>
      </c>
      <c r="E5" s="66" t="s">
        <v>549</v>
      </c>
      <c r="F5" s="67">
        <v>46125</v>
      </c>
      <c r="G5" s="81">
        <v>0.73263888888888884</v>
      </c>
      <c r="H5" s="67" t="s">
        <v>568</v>
      </c>
      <c r="I5" s="67" t="s">
        <v>102</v>
      </c>
      <c r="J5" s="68" t="s">
        <v>556</v>
      </c>
    </row>
    <row r="6" spans="1:10" x14ac:dyDescent="0.25">
      <c r="A6" s="66">
        <v>5</v>
      </c>
      <c r="B6" s="64" t="s">
        <v>25</v>
      </c>
      <c r="C6" s="65" t="s">
        <v>536</v>
      </c>
      <c r="D6" s="64" t="s">
        <v>537</v>
      </c>
      <c r="E6" s="66" t="s">
        <v>549</v>
      </c>
      <c r="F6" s="67">
        <v>46127</v>
      </c>
      <c r="G6" s="81">
        <v>0.72569444444444453</v>
      </c>
      <c r="H6" s="67" t="s">
        <v>569</v>
      </c>
      <c r="I6" s="67" t="s">
        <v>102</v>
      </c>
      <c r="J6" s="68" t="s">
        <v>557</v>
      </c>
    </row>
    <row r="7" spans="1:10" x14ac:dyDescent="0.25">
      <c r="A7" s="66">
        <v>6</v>
      </c>
      <c r="B7" s="64" t="s">
        <v>24</v>
      </c>
      <c r="C7" s="65" t="s">
        <v>538</v>
      </c>
      <c r="D7" s="64" t="s">
        <v>539</v>
      </c>
      <c r="E7" s="66" t="s">
        <v>548</v>
      </c>
      <c r="F7" s="80">
        <v>46129</v>
      </c>
      <c r="G7" s="81">
        <v>0.64583333333333337</v>
      </c>
      <c r="H7" s="67" t="s">
        <v>570</v>
      </c>
      <c r="I7" s="67" t="s">
        <v>102</v>
      </c>
      <c r="J7" s="68" t="s">
        <v>558</v>
      </c>
    </row>
    <row r="8" spans="1:10" x14ac:dyDescent="0.25">
      <c r="A8" s="66">
        <v>7</v>
      </c>
      <c r="B8" s="64" t="s">
        <v>540</v>
      </c>
      <c r="C8" s="65" t="s">
        <v>309</v>
      </c>
      <c r="D8" s="64" t="s">
        <v>132</v>
      </c>
      <c r="E8" s="66" t="s">
        <v>549</v>
      </c>
      <c r="F8" s="82">
        <v>46132</v>
      </c>
      <c r="G8" s="84">
        <v>0.73263888888888884</v>
      </c>
      <c r="H8" s="67" t="s">
        <v>571</v>
      </c>
      <c r="I8" s="67" t="s">
        <v>102</v>
      </c>
      <c r="J8" s="68" t="s">
        <v>559</v>
      </c>
    </row>
    <row r="9" spans="1:10" x14ac:dyDescent="0.25">
      <c r="A9" s="66">
        <v>8</v>
      </c>
      <c r="B9" s="64" t="s">
        <v>540</v>
      </c>
      <c r="C9" s="65" t="s">
        <v>367</v>
      </c>
      <c r="D9" s="64" t="s">
        <v>488</v>
      </c>
      <c r="E9" s="66" t="s">
        <v>550</v>
      </c>
      <c r="F9" s="82">
        <v>46136</v>
      </c>
      <c r="G9" s="84">
        <v>0.52430555555555558</v>
      </c>
      <c r="H9" s="67" t="s">
        <v>572</v>
      </c>
      <c r="I9" s="67" t="s">
        <v>102</v>
      </c>
      <c r="J9" s="68" t="s">
        <v>560</v>
      </c>
    </row>
    <row r="10" spans="1:10" x14ac:dyDescent="0.25">
      <c r="A10" s="66">
        <v>9</v>
      </c>
      <c r="B10" s="64" t="s">
        <v>540</v>
      </c>
      <c r="C10" s="65" t="s">
        <v>541</v>
      </c>
      <c r="D10" s="64" t="s">
        <v>306</v>
      </c>
      <c r="E10" s="66" t="s">
        <v>550</v>
      </c>
      <c r="F10" s="82">
        <v>46132</v>
      </c>
      <c r="G10" s="84">
        <v>0.73263888888888884</v>
      </c>
      <c r="H10" s="67">
        <v>46139</v>
      </c>
      <c r="I10" s="67" t="s">
        <v>102</v>
      </c>
      <c r="J10" s="69" t="s">
        <v>561</v>
      </c>
    </row>
    <row r="11" spans="1:10" x14ac:dyDescent="0.25">
      <c r="A11" s="66">
        <v>10</v>
      </c>
      <c r="B11" s="64" t="s">
        <v>542</v>
      </c>
      <c r="C11" s="65" t="s">
        <v>543</v>
      </c>
      <c r="D11" s="64" t="s">
        <v>519</v>
      </c>
      <c r="E11" s="66" t="s">
        <v>549</v>
      </c>
      <c r="F11" s="82">
        <v>46111</v>
      </c>
      <c r="G11" s="84">
        <v>0.79166666666666663</v>
      </c>
      <c r="H11" s="67">
        <v>46143</v>
      </c>
      <c r="I11" s="67" t="s">
        <v>102</v>
      </c>
      <c r="J11" s="65" t="s">
        <v>562</v>
      </c>
    </row>
    <row r="12" spans="1:10" x14ac:dyDescent="0.25">
      <c r="A12" s="66">
        <v>11</v>
      </c>
      <c r="B12" s="64" t="s">
        <v>25</v>
      </c>
      <c r="C12" s="65" t="s">
        <v>611</v>
      </c>
      <c r="D12" s="64" t="s">
        <v>612</v>
      </c>
      <c r="E12" s="66" t="s">
        <v>613</v>
      </c>
      <c r="F12" s="67">
        <v>46151</v>
      </c>
      <c r="G12" s="81">
        <v>0.51736111111111116</v>
      </c>
      <c r="H12" s="67">
        <v>46151</v>
      </c>
      <c r="I12" s="67" t="s">
        <v>102</v>
      </c>
      <c r="J12" s="68" t="s">
        <v>614</v>
      </c>
    </row>
    <row r="13" spans="1:10" x14ac:dyDescent="0.25">
      <c r="A13" s="66"/>
      <c r="B13" s="64"/>
      <c r="C13" s="65"/>
      <c r="D13" s="64"/>
      <c r="E13" s="66"/>
      <c r="F13" s="66"/>
      <c r="G13" s="66"/>
      <c r="H13" s="66"/>
      <c r="I13" s="67"/>
      <c r="J13" s="65"/>
    </row>
    <row r="14" spans="1:10" x14ac:dyDescent="0.25">
      <c r="A14" s="66"/>
      <c r="B14" s="64"/>
      <c r="C14" s="65"/>
      <c r="D14" s="64"/>
      <c r="E14" s="66"/>
      <c r="F14" s="66"/>
      <c r="G14" s="66"/>
      <c r="H14" s="66"/>
      <c r="I14" s="67"/>
      <c r="J14" s="65"/>
    </row>
    <row r="15" spans="1:10" x14ac:dyDescent="0.25">
      <c r="A15" s="66"/>
      <c r="B15" s="64"/>
      <c r="C15" s="65"/>
      <c r="D15" s="64"/>
      <c r="E15" s="66"/>
      <c r="F15" s="66"/>
      <c r="G15" s="66"/>
      <c r="H15" s="66"/>
      <c r="I15" s="67"/>
      <c r="J15" s="65"/>
    </row>
    <row r="16" spans="1:10" x14ac:dyDescent="0.25">
      <c r="A16" s="66"/>
      <c r="B16" s="64"/>
      <c r="C16" s="65"/>
      <c r="D16" s="64"/>
      <c r="E16" s="66"/>
      <c r="F16" s="66"/>
      <c r="G16" s="66"/>
      <c r="H16" s="66"/>
      <c r="I16" s="67"/>
      <c r="J16" s="65"/>
    </row>
    <row r="17" spans="1:10" x14ac:dyDescent="0.25">
      <c r="A17" s="66"/>
      <c r="B17" s="64"/>
      <c r="C17" s="65"/>
      <c r="D17" s="64"/>
      <c r="E17" s="66"/>
      <c r="F17" s="66"/>
      <c r="G17" s="66"/>
      <c r="H17" s="66"/>
      <c r="I17" s="67"/>
      <c r="J17" s="65"/>
    </row>
    <row r="18" spans="1:10" x14ac:dyDescent="0.25">
      <c r="A18" s="66"/>
      <c r="B18" s="64"/>
      <c r="C18" s="65"/>
      <c r="D18" s="64"/>
      <c r="E18" s="66"/>
      <c r="F18" s="66"/>
      <c r="G18" s="66"/>
      <c r="H18" s="66"/>
      <c r="I18" s="67"/>
      <c r="J18" s="65"/>
    </row>
    <row r="19" spans="1:10" x14ac:dyDescent="0.25">
      <c r="A19" s="66"/>
      <c r="B19" s="64"/>
      <c r="C19" s="65"/>
      <c r="D19" s="64"/>
      <c r="E19" s="66"/>
      <c r="F19" s="66"/>
      <c r="G19" s="66"/>
      <c r="H19" s="66"/>
      <c r="I19" s="67"/>
      <c r="J19" s="65"/>
    </row>
    <row r="20" spans="1:10" x14ac:dyDescent="0.25">
      <c r="A20" s="66"/>
      <c r="B20" s="64"/>
      <c r="C20" s="65"/>
      <c r="D20" s="64"/>
      <c r="E20" s="66"/>
      <c r="F20" s="66"/>
      <c r="G20" s="66"/>
      <c r="H20" s="66"/>
      <c r="I20" s="67"/>
      <c r="J20" s="65"/>
    </row>
    <row r="21" spans="1:10" x14ac:dyDescent="0.25">
      <c r="A21" s="66"/>
      <c r="B21" s="64"/>
      <c r="C21" s="65"/>
      <c r="D21" s="64"/>
      <c r="E21" s="66"/>
      <c r="F21" s="66"/>
      <c r="G21" s="66"/>
      <c r="H21" s="66"/>
      <c r="I21" s="67"/>
      <c r="J21" s="65"/>
    </row>
    <row r="22" spans="1:10" x14ac:dyDescent="0.25">
      <c r="A22" s="66"/>
      <c r="B22" s="64"/>
      <c r="C22" s="65"/>
      <c r="D22" s="64"/>
      <c r="E22" s="66"/>
      <c r="F22" s="66"/>
      <c r="G22" s="66"/>
      <c r="H22" s="66"/>
      <c r="I22" s="67"/>
      <c r="J22" s="65"/>
    </row>
  </sheetData>
  <conditionalFormatting sqref="I1:I3 I5:I6 I8 I10">
    <cfRule type="containsText" dxfId="1156" priority="1166" operator="containsText" text="HOLD">
      <formula>NOT(ISERROR(SEARCH("HOLD",I1)))</formula>
    </cfRule>
    <cfRule type="containsText" dxfId="1155" priority="1167" operator="containsText" text="COMPLETED">
      <formula>NOT(ISERROR(SEARCH("COMPLETED",I1)))</formula>
    </cfRule>
    <cfRule type="containsText" dxfId="1154" priority="1168" operator="containsText" text="NOT YET STARTED">
      <formula>NOT(ISERROR(SEARCH("NOT YET STARTED",I1)))</formula>
    </cfRule>
    <cfRule type="containsText" dxfId="1153" priority="1169" operator="containsText" text="IN PROGRESS">
      <formula>NOT(ISERROR(SEARCH("IN PROGRESS",I1)))</formula>
    </cfRule>
  </conditionalFormatting>
  <conditionalFormatting sqref="I2:I3 I5:I6 I8 I10">
    <cfRule type="containsText" dxfId="1152" priority="1007" operator="containsText" text="HOLD">
      <formula>NOT(ISERROR(SEARCH("HOLD",I2)))</formula>
    </cfRule>
    <cfRule type="containsText" dxfId="1151" priority="1008" operator="containsText" text="COMPLETED">
      <formula>NOT(ISERROR(SEARCH("COMPLETED",I2)))</formula>
    </cfRule>
    <cfRule type="containsText" dxfId="1150" priority="1009" operator="containsText" text="NOT YET STARTED">
      <formula>NOT(ISERROR(SEARCH("NOT YET STARTED",I2)))</formula>
    </cfRule>
    <cfRule type="containsText" dxfId="1149" priority="1010" operator="containsText" text="IN PROGRESS">
      <formula>NOT(ISERROR(SEARCH("IN PROGRESS",I2)))</formula>
    </cfRule>
    <cfRule type="containsText" dxfId="1148" priority="1011" operator="containsText" text="HOLD">
      <formula>NOT(ISERROR(SEARCH("HOLD",I2)))</formula>
    </cfRule>
    <cfRule type="containsText" dxfId="1147" priority="1012" operator="containsText" text="COMPLETED">
      <formula>NOT(ISERROR(SEARCH("COMPLETED",I2)))</formula>
    </cfRule>
    <cfRule type="containsText" dxfId="1146" priority="1013" operator="containsText" text="NOT YET STARTED">
      <formula>NOT(ISERROR(SEARCH("NOT YET STARTED",I2)))</formula>
    </cfRule>
    <cfRule type="containsText" dxfId="1145" priority="1014" operator="containsText" text="IN PROGRESS">
      <formula>NOT(ISERROR(SEARCH("IN PROGRESS",I2)))</formula>
    </cfRule>
    <cfRule type="containsText" dxfId="1144" priority="1015" operator="containsText" text="HOLD">
      <formula>NOT(ISERROR(SEARCH("HOLD",I2)))</formula>
    </cfRule>
    <cfRule type="containsText" dxfId="1143" priority="1016" operator="containsText" text="COMPLETED">
      <formula>NOT(ISERROR(SEARCH("COMPLETED",I2)))</formula>
    </cfRule>
    <cfRule type="containsText" dxfId="1142" priority="1017" operator="containsText" text="NOT YET STARTED">
      <formula>NOT(ISERROR(SEARCH("NOT YET STARTED",I2)))</formula>
    </cfRule>
    <cfRule type="containsText" dxfId="1141" priority="1018" operator="containsText" text="IN PROGRESS">
      <formula>NOT(ISERROR(SEARCH("IN PROGRESS",I2)))</formula>
    </cfRule>
    <cfRule type="containsText" dxfId="1140" priority="1019" operator="containsText" text="HOLD">
      <formula>NOT(ISERROR(SEARCH("HOLD",I2)))</formula>
    </cfRule>
    <cfRule type="containsText" dxfId="1139" priority="1020" operator="containsText" text="COMPLETED">
      <formula>NOT(ISERROR(SEARCH("COMPLETED",I2)))</formula>
    </cfRule>
    <cfRule type="containsText" dxfId="1138" priority="1021" operator="containsText" text="NOT YET STARTED">
      <formula>NOT(ISERROR(SEARCH("NOT YET STARTED",I2)))</formula>
    </cfRule>
    <cfRule type="containsText" dxfId="1137" priority="1022" operator="containsText" text="IN PROGRESS">
      <formula>NOT(ISERROR(SEARCH("IN PROGRESS",I2)))</formula>
    </cfRule>
    <cfRule type="containsText" dxfId="1136" priority="1023" operator="containsText" text="HOLD">
      <formula>NOT(ISERROR(SEARCH("HOLD",I2)))</formula>
    </cfRule>
    <cfRule type="containsText" dxfId="1135" priority="1024" operator="containsText" text="COMPLETED">
      <formula>NOT(ISERROR(SEARCH("COMPLETED",I2)))</formula>
    </cfRule>
    <cfRule type="containsText" dxfId="1134" priority="1025" operator="containsText" text="NOT YET STARTED">
      <formula>NOT(ISERROR(SEARCH("NOT YET STARTED",I2)))</formula>
    </cfRule>
    <cfRule type="containsText" dxfId="1133" priority="1026" operator="containsText" text="IN PROGRESS">
      <formula>NOT(ISERROR(SEARCH("IN PROGRESS",I2)))</formula>
    </cfRule>
    <cfRule type="containsText" dxfId="1132" priority="1027" operator="containsText" text="HOLD">
      <formula>NOT(ISERROR(SEARCH("HOLD",I2)))</formula>
    </cfRule>
    <cfRule type="containsText" dxfId="1131" priority="1028" operator="containsText" text="COMPLETED">
      <formula>NOT(ISERROR(SEARCH("COMPLETED",I2)))</formula>
    </cfRule>
    <cfRule type="containsText" dxfId="1130" priority="1029" operator="containsText" text="NOT YET STARTED">
      <formula>NOT(ISERROR(SEARCH("NOT YET STARTED",I2)))</formula>
    </cfRule>
    <cfRule type="containsText" dxfId="1129" priority="1030" operator="containsText" text="IN PROGRESS">
      <formula>NOT(ISERROR(SEARCH("IN PROGRESS",I2)))</formula>
    </cfRule>
    <cfRule type="containsText" dxfId="1128" priority="1031" operator="containsText" text="HOLD">
      <formula>NOT(ISERROR(SEARCH("HOLD",I2)))</formula>
    </cfRule>
    <cfRule type="containsText" dxfId="1127" priority="1032" operator="containsText" text="COMPLETED">
      <formula>NOT(ISERROR(SEARCH("COMPLETED",I2)))</formula>
    </cfRule>
    <cfRule type="containsText" dxfId="1126" priority="1033" operator="containsText" text="NOT YET STARTED">
      <formula>NOT(ISERROR(SEARCH("NOT YET STARTED",I2)))</formula>
    </cfRule>
    <cfRule type="containsText" dxfId="1125" priority="1034" operator="containsText" text="IN PROGRESS">
      <formula>NOT(ISERROR(SEARCH("IN PROGRESS",I2)))</formula>
    </cfRule>
    <cfRule type="containsText" dxfId="1124" priority="1035" operator="containsText" text="HOLD">
      <formula>NOT(ISERROR(SEARCH("HOLD",I2)))</formula>
    </cfRule>
    <cfRule type="containsText" dxfId="1123" priority="1036" operator="containsText" text="COMPLETED">
      <formula>NOT(ISERROR(SEARCH("COMPLETED",I2)))</formula>
    </cfRule>
    <cfRule type="containsText" dxfId="1122" priority="1037" operator="containsText" text="NOT YET STARTED">
      <formula>NOT(ISERROR(SEARCH("NOT YET STARTED",I2)))</formula>
    </cfRule>
    <cfRule type="containsText" dxfId="1121" priority="1038" operator="containsText" text="IN PROGRESS">
      <formula>NOT(ISERROR(SEARCH("IN PROGRESS",I2)))</formula>
    </cfRule>
    <cfRule type="containsText" dxfId="1120" priority="1039" operator="containsText" text="HOLD">
      <formula>NOT(ISERROR(SEARCH("HOLD",I2)))</formula>
    </cfRule>
    <cfRule type="containsText" dxfId="1119" priority="1040" operator="containsText" text="COMPLETED">
      <formula>NOT(ISERROR(SEARCH("COMPLETED",I2)))</formula>
    </cfRule>
    <cfRule type="containsText" dxfId="1118" priority="1041" operator="containsText" text="NOT YET STARTED">
      <formula>NOT(ISERROR(SEARCH("NOT YET STARTED",I2)))</formula>
    </cfRule>
    <cfRule type="containsText" dxfId="1117" priority="1042" operator="containsText" text="IN PROGRESS">
      <formula>NOT(ISERROR(SEARCH("IN PROGRESS",I2)))</formula>
    </cfRule>
    <cfRule type="containsText" dxfId="1116" priority="1043" operator="containsText" text="HOLD">
      <formula>NOT(ISERROR(SEARCH("HOLD",I2)))</formula>
    </cfRule>
    <cfRule type="containsText" dxfId="1115" priority="1044" operator="containsText" text="COMPLETED">
      <formula>NOT(ISERROR(SEARCH("COMPLETED",I2)))</formula>
    </cfRule>
    <cfRule type="containsText" dxfId="1114" priority="1045" operator="containsText" text="NOT YET STARTED">
      <formula>NOT(ISERROR(SEARCH("NOT YET STARTED",I2)))</formula>
    </cfRule>
    <cfRule type="containsText" dxfId="1113" priority="1046" operator="containsText" text="IN PROGRESS">
      <formula>NOT(ISERROR(SEARCH("IN PROGRESS",I2)))</formula>
    </cfRule>
    <cfRule type="containsText" dxfId="1112" priority="1047" operator="containsText" text="HOLD">
      <formula>NOT(ISERROR(SEARCH("HOLD",I2)))</formula>
    </cfRule>
    <cfRule type="containsText" dxfId="1111" priority="1048" operator="containsText" text="COMPLETED">
      <formula>NOT(ISERROR(SEARCH("COMPLETED",I2)))</formula>
    </cfRule>
    <cfRule type="containsText" dxfId="1110" priority="1049" operator="containsText" text="NOT YET STARTED">
      <formula>NOT(ISERROR(SEARCH("NOT YET STARTED",I2)))</formula>
    </cfRule>
    <cfRule type="containsText" dxfId="1109" priority="1050" operator="containsText" text="IN PROGRESS">
      <formula>NOT(ISERROR(SEARCH("IN PROGRESS",I2)))</formula>
    </cfRule>
    <cfRule type="containsText" dxfId="1108" priority="1051" operator="containsText" text="HOLD">
      <formula>NOT(ISERROR(SEARCH("HOLD",I2)))</formula>
    </cfRule>
    <cfRule type="containsText" dxfId="1107" priority="1052" operator="containsText" text="COMPLETED">
      <formula>NOT(ISERROR(SEARCH("COMPLETED",I2)))</formula>
    </cfRule>
    <cfRule type="containsText" dxfId="1106" priority="1053" operator="containsText" text="NOT YET STARTED">
      <formula>NOT(ISERROR(SEARCH("NOT YET STARTED",I2)))</formula>
    </cfRule>
    <cfRule type="containsText" dxfId="1105" priority="1054" operator="containsText" text="IN PROGRESS">
      <formula>NOT(ISERROR(SEARCH("IN PROGRESS",I2)))</formula>
    </cfRule>
    <cfRule type="containsText" dxfId="1104" priority="1055" operator="containsText" text="HOLD">
      <formula>NOT(ISERROR(SEARCH("HOLD",I2)))</formula>
    </cfRule>
    <cfRule type="containsText" dxfId="1103" priority="1056" operator="containsText" text="COMPLETED">
      <formula>NOT(ISERROR(SEARCH("COMPLETED",I2)))</formula>
    </cfRule>
    <cfRule type="containsText" dxfId="1102" priority="1057" operator="containsText" text="NOT YET STARTED">
      <formula>NOT(ISERROR(SEARCH("NOT YET STARTED",I2)))</formula>
    </cfRule>
    <cfRule type="containsText" dxfId="1101" priority="1058" operator="containsText" text="IN PROGRESS">
      <formula>NOT(ISERROR(SEARCH("IN PROGRESS",I2)))</formula>
    </cfRule>
    <cfRule type="containsText" dxfId="1100" priority="1059" operator="containsText" text="HOLD">
      <formula>NOT(ISERROR(SEARCH("HOLD",I2)))</formula>
    </cfRule>
    <cfRule type="containsText" dxfId="1099" priority="1060" operator="containsText" text="COMPLETED">
      <formula>NOT(ISERROR(SEARCH("COMPLETED",I2)))</formula>
    </cfRule>
    <cfRule type="containsText" dxfId="1098" priority="1061" operator="containsText" text="NOT YET STARTED">
      <formula>NOT(ISERROR(SEARCH("NOT YET STARTED",I2)))</formula>
    </cfRule>
    <cfRule type="containsText" dxfId="1097" priority="1062" operator="containsText" text="IN PROGRESS">
      <formula>NOT(ISERROR(SEARCH("IN PROGRESS",I2)))</formula>
    </cfRule>
    <cfRule type="containsText" dxfId="1096" priority="1063" operator="containsText" text="HOLD">
      <formula>NOT(ISERROR(SEARCH("HOLD",I2)))</formula>
    </cfRule>
    <cfRule type="containsText" dxfId="1095" priority="1064" operator="containsText" text="COMPLETED">
      <formula>NOT(ISERROR(SEARCH("COMPLETED",I2)))</formula>
    </cfRule>
    <cfRule type="containsText" dxfId="1094" priority="1065" operator="containsText" text="NOT YET STARTED">
      <formula>NOT(ISERROR(SEARCH("NOT YET STARTED",I2)))</formula>
    </cfRule>
    <cfRule type="containsText" dxfId="1093" priority="1066" operator="containsText" text="IN PROGRESS">
      <formula>NOT(ISERROR(SEARCH("IN PROGRESS",I2)))</formula>
    </cfRule>
    <cfRule type="containsText" dxfId="1092" priority="1067" operator="containsText" text="HOLD">
      <formula>NOT(ISERROR(SEARCH("HOLD",I2)))</formula>
    </cfRule>
    <cfRule type="containsText" dxfId="1091" priority="1068" operator="containsText" text="COMPLETED">
      <formula>NOT(ISERROR(SEARCH("COMPLETED",I2)))</formula>
    </cfRule>
    <cfRule type="containsText" dxfId="1090" priority="1069" operator="containsText" text="NOT YET STARTED">
      <formula>NOT(ISERROR(SEARCH("NOT YET STARTED",I2)))</formula>
    </cfRule>
    <cfRule type="containsText" dxfId="1089" priority="1070" operator="containsText" text="IN PROGRESS">
      <formula>NOT(ISERROR(SEARCH("IN PROGRESS",I2)))</formula>
    </cfRule>
    <cfRule type="containsText" dxfId="1088" priority="1071" operator="containsText" text="HOLD">
      <formula>NOT(ISERROR(SEARCH("HOLD",I2)))</formula>
    </cfRule>
    <cfRule type="containsText" dxfId="1087" priority="1072" operator="containsText" text="COMPLETED">
      <formula>NOT(ISERROR(SEARCH("COMPLETED",I2)))</formula>
    </cfRule>
    <cfRule type="containsText" dxfId="1086" priority="1073" operator="containsText" text="NOT YET STARTED">
      <formula>NOT(ISERROR(SEARCH("NOT YET STARTED",I2)))</formula>
    </cfRule>
    <cfRule type="containsText" dxfId="1085" priority="1074" operator="containsText" text="IN PROGRESS">
      <formula>NOT(ISERROR(SEARCH("IN PROGRESS",I2)))</formula>
    </cfRule>
    <cfRule type="containsText" dxfId="1084" priority="1075" operator="containsText" text="HOLD">
      <formula>NOT(ISERROR(SEARCH("HOLD",I2)))</formula>
    </cfRule>
    <cfRule type="containsText" dxfId="1083" priority="1076" operator="containsText" text="COMPLETED">
      <formula>NOT(ISERROR(SEARCH("COMPLETED",I2)))</formula>
    </cfRule>
    <cfRule type="containsText" dxfId="1082" priority="1077" operator="containsText" text="NOT YET STARTED">
      <formula>NOT(ISERROR(SEARCH("NOT YET STARTED",I2)))</formula>
    </cfRule>
    <cfRule type="containsText" dxfId="1081" priority="1078" operator="containsText" text="IN PROGRESS">
      <formula>NOT(ISERROR(SEARCH("IN PROGRESS",I2)))</formula>
    </cfRule>
    <cfRule type="containsText" dxfId="1080" priority="1079" operator="containsText" text="HOLD">
      <formula>NOT(ISERROR(SEARCH("HOLD",I2)))</formula>
    </cfRule>
    <cfRule type="containsText" dxfId="1079" priority="1080" operator="containsText" text="COMPLETED">
      <formula>NOT(ISERROR(SEARCH("COMPLETED",I2)))</formula>
    </cfRule>
    <cfRule type="containsText" dxfId="1078" priority="1081" operator="containsText" text="NOT YET STARTED">
      <formula>NOT(ISERROR(SEARCH("NOT YET STARTED",I2)))</formula>
    </cfRule>
    <cfRule type="containsText" dxfId="1077" priority="1082" operator="containsText" text="IN PROGRESS">
      <formula>NOT(ISERROR(SEARCH("IN PROGRESS",I2)))</formula>
    </cfRule>
    <cfRule type="containsText" dxfId="1076" priority="1083" operator="containsText" text="HOLD">
      <formula>NOT(ISERROR(SEARCH("HOLD",I2)))</formula>
    </cfRule>
    <cfRule type="containsText" dxfId="1075" priority="1084" operator="containsText" text="COMPLETED">
      <formula>NOT(ISERROR(SEARCH("COMPLETED",I2)))</formula>
    </cfRule>
    <cfRule type="containsText" dxfId="1074" priority="1085" operator="containsText" text="NOT YET STARTED">
      <formula>NOT(ISERROR(SEARCH("NOT YET STARTED",I2)))</formula>
    </cfRule>
    <cfRule type="containsText" dxfId="1073" priority="1086" operator="containsText" text="IN PROGRESS">
      <formula>NOT(ISERROR(SEARCH("IN PROGRESS",I2)))</formula>
    </cfRule>
    <cfRule type="containsText" dxfId="1072" priority="1087" operator="containsText" text="HOLD">
      <formula>NOT(ISERROR(SEARCH("HOLD",I2)))</formula>
    </cfRule>
    <cfRule type="containsText" dxfId="1071" priority="1088" operator="containsText" text="COMPLETED">
      <formula>NOT(ISERROR(SEARCH("COMPLETED",I2)))</formula>
    </cfRule>
    <cfRule type="containsText" dxfId="1070" priority="1089" operator="containsText" text="NOT YET STARTED">
      <formula>NOT(ISERROR(SEARCH("NOT YET STARTED",I2)))</formula>
    </cfRule>
    <cfRule type="containsText" dxfId="1069" priority="1090" operator="containsText" text="IN PROGRESS">
      <formula>NOT(ISERROR(SEARCH("IN PROGRESS",I2)))</formula>
    </cfRule>
    <cfRule type="containsText" dxfId="1068" priority="1091" operator="containsText" text="HOLD">
      <formula>NOT(ISERROR(SEARCH("HOLD",I2)))</formula>
    </cfRule>
    <cfRule type="containsText" dxfId="1067" priority="1092" operator="containsText" text="COMPLETED">
      <formula>NOT(ISERROR(SEARCH("COMPLETED",I2)))</formula>
    </cfRule>
    <cfRule type="containsText" dxfId="1066" priority="1093" operator="containsText" text="NOT YET STARTED">
      <formula>NOT(ISERROR(SEARCH("NOT YET STARTED",I2)))</formula>
    </cfRule>
    <cfRule type="containsText" dxfId="1065" priority="1094" operator="containsText" text="IN PROGRESS">
      <formula>NOT(ISERROR(SEARCH("IN PROGRESS",I2)))</formula>
    </cfRule>
    <cfRule type="containsText" dxfId="1064" priority="1095" operator="containsText" text="HOLD">
      <formula>NOT(ISERROR(SEARCH("HOLD",I2)))</formula>
    </cfRule>
    <cfRule type="containsText" dxfId="1063" priority="1096" operator="containsText" text="COMPLETED">
      <formula>NOT(ISERROR(SEARCH("COMPLETED",I2)))</formula>
    </cfRule>
    <cfRule type="containsText" dxfId="1062" priority="1097" operator="containsText" text="NOT YET STARTED">
      <formula>NOT(ISERROR(SEARCH("NOT YET STARTED",I2)))</formula>
    </cfRule>
    <cfRule type="containsText" dxfId="1061" priority="1098" operator="containsText" text="IN PROGRESS">
      <formula>NOT(ISERROR(SEARCH("IN PROGRESS",I2)))</formula>
    </cfRule>
    <cfRule type="containsText" dxfId="1060" priority="1099" operator="containsText" text="HOLD">
      <formula>NOT(ISERROR(SEARCH("HOLD",I2)))</formula>
    </cfRule>
    <cfRule type="containsText" dxfId="1059" priority="1100" operator="containsText" text="COMPLETED">
      <formula>NOT(ISERROR(SEARCH("COMPLETED",I2)))</formula>
    </cfRule>
    <cfRule type="containsText" dxfId="1058" priority="1101" operator="containsText" text="NOT YET STARTED">
      <formula>NOT(ISERROR(SEARCH("NOT YET STARTED",I2)))</formula>
    </cfRule>
    <cfRule type="containsText" dxfId="1057" priority="1102" operator="containsText" text="IN PROGRESS">
      <formula>NOT(ISERROR(SEARCH("IN PROGRESS",I2)))</formula>
    </cfRule>
    <cfRule type="containsText" dxfId="1056" priority="1103" operator="containsText" text="HOLD">
      <formula>NOT(ISERROR(SEARCH("HOLD",I2)))</formula>
    </cfRule>
    <cfRule type="containsText" dxfId="1055" priority="1104" operator="containsText" text="COMPLETED">
      <formula>NOT(ISERROR(SEARCH("COMPLETED",I2)))</formula>
    </cfRule>
    <cfRule type="containsText" dxfId="1054" priority="1105" operator="containsText" text="NOT YET STARTED">
      <formula>NOT(ISERROR(SEARCH("NOT YET STARTED",I2)))</formula>
    </cfRule>
    <cfRule type="containsText" dxfId="1053" priority="1106" operator="containsText" text="IN PROGRESS">
      <formula>NOT(ISERROR(SEARCH("IN PROGRESS",I2)))</formula>
    </cfRule>
    <cfRule type="containsText" dxfId="1052" priority="1107" operator="containsText" text="HOLD">
      <formula>NOT(ISERROR(SEARCH("HOLD",I2)))</formula>
    </cfRule>
    <cfRule type="containsText" dxfId="1051" priority="1108" operator="containsText" text="COMPLETED">
      <formula>NOT(ISERROR(SEARCH("COMPLETED",I2)))</formula>
    </cfRule>
    <cfRule type="containsText" dxfId="1050" priority="1109" operator="containsText" text="NOT YET STARTED">
      <formula>NOT(ISERROR(SEARCH("NOT YET STARTED",I2)))</formula>
    </cfRule>
    <cfRule type="containsText" dxfId="1049" priority="1110" operator="containsText" text="IN PROGRESS">
      <formula>NOT(ISERROR(SEARCH("IN PROGRESS",I2)))</formula>
    </cfRule>
    <cfRule type="containsText" dxfId="1048" priority="1111" operator="containsText" text="HOLD">
      <formula>NOT(ISERROR(SEARCH("HOLD",I2)))</formula>
    </cfRule>
    <cfRule type="containsText" dxfId="1047" priority="1112" operator="containsText" text="COMPLETED">
      <formula>NOT(ISERROR(SEARCH("COMPLETED",I2)))</formula>
    </cfRule>
    <cfRule type="containsText" dxfId="1046" priority="1113" operator="containsText" text="NOT YET STARTED">
      <formula>NOT(ISERROR(SEARCH("NOT YET STARTED",I2)))</formula>
    </cfRule>
    <cfRule type="containsText" dxfId="1045" priority="1114" operator="containsText" text="IN PROGRESS">
      <formula>NOT(ISERROR(SEARCH("IN PROGRESS",I2)))</formula>
    </cfRule>
    <cfRule type="containsText" dxfId="1044" priority="1115" operator="containsText" text="HOLD">
      <formula>NOT(ISERROR(SEARCH("HOLD",I2)))</formula>
    </cfRule>
    <cfRule type="containsText" dxfId="1043" priority="1116" operator="containsText" text="COMPLETED">
      <formula>NOT(ISERROR(SEARCH("COMPLETED",I2)))</formula>
    </cfRule>
    <cfRule type="containsText" dxfId="1042" priority="1117" operator="containsText" text="NOT YET STARTED">
      <formula>NOT(ISERROR(SEARCH("NOT YET STARTED",I2)))</formula>
    </cfRule>
    <cfRule type="containsText" dxfId="1041" priority="1118" operator="containsText" text="IN PROGRESS">
      <formula>NOT(ISERROR(SEARCH("IN PROGRESS",I2)))</formula>
    </cfRule>
    <cfRule type="containsText" dxfId="1040" priority="1119" operator="containsText" text="HOLD">
      <formula>NOT(ISERROR(SEARCH("HOLD",I2)))</formula>
    </cfRule>
    <cfRule type="containsText" dxfId="1039" priority="1120" operator="containsText" text="COMPLETED">
      <formula>NOT(ISERROR(SEARCH("COMPLETED",I2)))</formula>
    </cfRule>
    <cfRule type="containsText" dxfId="1038" priority="1121" operator="containsText" text="NOT YET STARTED">
      <formula>NOT(ISERROR(SEARCH("NOT YET STARTED",I2)))</formula>
    </cfRule>
    <cfRule type="containsText" dxfId="1037" priority="1122" operator="containsText" text="IN PROGRESS">
      <formula>NOT(ISERROR(SEARCH("IN PROGRESS",I2)))</formula>
    </cfRule>
    <cfRule type="containsText" dxfId="1036" priority="1123" operator="containsText" text="HOLD">
      <formula>NOT(ISERROR(SEARCH("HOLD",I2)))</formula>
    </cfRule>
    <cfRule type="containsText" dxfId="1035" priority="1124" operator="containsText" text="COMPLETED">
      <formula>NOT(ISERROR(SEARCH("COMPLETED",I2)))</formula>
    </cfRule>
    <cfRule type="containsText" dxfId="1034" priority="1125" operator="containsText" text="NOT YET STARTED">
      <formula>NOT(ISERROR(SEARCH("NOT YET STARTED",I2)))</formula>
    </cfRule>
    <cfRule type="containsText" dxfId="1033" priority="1126" operator="containsText" text="IN PROGRESS">
      <formula>NOT(ISERROR(SEARCH("IN PROGRESS",I2)))</formula>
    </cfRule>
    <cfRule type="containsText" dxfId="1032" priority="1127" operator="containsText" text="HOLD">
      <formula>NOT(ISERROR(SEARCH("HOLD",I2)))</formula>
    </cfRule>
    <cfRule type="containsText" dxfId="1031" priority="1128" operator="containsText" text="COMPLETED">
      <formula>NOT(ISERROR(SEARCH("COMPLETED",I2)))</formula>
    </cfRule>
    <cfRule type="containsText" dxfId="1030" priority="1129" operator="containsText" text="NOT YET STARTED">
      <formula>NOT(ISERROR(SEARCH("NOT YET STARTED",I2)))</formula>
    </cfRule>
    <cfRule type="containsText" dxfId="1029" priority="1130" operator="containsText" text="IN PROGRESS">
      <formula>NOT(ISERROR(SEARCH("IN PROGRESS",I2)))</formula>
    </cfRule>
    <cfRule type="containsText" dxfId="1028" priority="1131" operator="containsText" text="HOLD">
      <formula>NOT(ISERROR(SEARCH("HOLD",I2)))</formula>
    </cfRule>
    <cfRule type="containsText" dxfId="1027" priority="1132" operator="containsText" text="COMPLETED">
      <formula>NOT(ISERROR(SEARCH("COMPLETED",I2)))</formula>
    </cfRule>
    <cfRule type="containsText" dxfId="1026" priority="1133" operator="containsText" text="NOT YET STARTED">
      <formula>NOT(ISERROR(SEARCH("NOT YET STARTED",I2)))</formula>
    </cfRule>
    <cfRule type="containsText" dxfId="1025" priority="1134" operator="containsText" text="IN PROGRESS">
      <formula>NOT(ISERROR(SEARCH("IN PROGRESS",I2)))</formula>
    </cfRule>
    <cfRule type="containsText" dxfId="1024" priority="1135" operator="containsText" text="COMPLETED">
      <formula>NOT(ISERROR(SEARCH("COMPLETED",I2)))</formula>
    </cfRule>
    <cfRule type="containsText" dxfId="1023" priority="1136" operator="containsText" text="NOT YET STARTED">
      <formula>NOT(ISERROR(SEARCH("NOT YET STARTED",I2)))</formula>
    </cfRule>
    <cfRule type="containsText" dxfId="1022" priority="1137" operator="containsText" text="IN PROGRESS">
      <formula>NOT(ISERROR(SEARCH("IN PROGRESS",I2)))</formula>
    </cfRule>
    <cfRule type="containsText" dxfId="1021" priority="1138" operator="containsText" text="HOLD">
      <formula>NOT(ISERROR(SEARCH("HOLD",I2)))</formula>
    </cfRule>
    <cfRule type="containsText" dxfId="1020" priority="1139" operator="containsText" text="COMPLETED">
      <formula>NOT(ISERROR(SEARCH("COMPLETED",I2)))</formula>
    </cfRule>
    <cfRule type="containsText" dxfId="1019" priority="1140" operator="containsText" text="NOT YET STARTED">
      <formula>NOT(ISERROR(SEARCH("NOT YET STARTED",I2)))</formula>
    </cfRule>
    <cfRule type="containsText" dxfId="1018" priority="1141" operator="containsText" text="IN PROGRESS">
      <formula>NOT(ISERROR(SEARCH("IN PROGRESS",I2)))</formula>
    </cfRule>
    <cfRule type="containsText" dxfId="1017" priority="1142" operator="containsText" text="HOLD">
      <formula>NOT(ISERROR(SEARCH("HOLD",I2)))</formula>
    </cfRule>
    <cfRule type="containsText" dxfId="1016" priority="1143" operator="containsText" text="COMPLETED">
      <formula>NOT(ISERROR(SEARCH("COMPLETED",I2)))</formula>
    </cfRule>
    <cfRule type="containsText" dxfId="1015" priority="1144" operator="containsText" text="NOT YET STARTED">
      <formula>NOT(ISERROR(SEARCH("NOT YET STARTED",I2)))</formula>
    </cfRule>
    <cfRule type="containsText" dxfId="1014" priority="1145" operator="containsText" text="IN PROGRESS">
      <formula>NOT(ISERROR(SEARCH("IN PROGRESS",I2)))</formula>
    </cfRule>
    <cfRule type="containsText" dxfId="1013" priority="1146" operator="containsText" text="HOLD">
      <formula>NOT(ISERROR(SEARCH("HOLD",I2)))</formula>
    </cfRule>
    <cfRule type="containsText" dxfId="1012" priority="1147" operator="containsText" text="COMPLETED">
      <formula>NOT(ISERROR(SEARCH("COMPLETED",I2)))</formula>
    </cfRule>
    <cfRule type="containsText" dxfId="1011" priority="1148" operator="containsText" text="NOT YET STARTED">
      <formula>NOT(ISERROR(SEARCH("NOT YET STARTED",I2)))</formula>
    </cfRule>
    <cfRule type="containsText" dxfId="1010" priority="1149" operator="containsText" text="IN PROGRESS">
      <formula>NOT(ISERROR(SEARCH("IN PROGRESS",I2)))</formula>
    </cfRule>
    <cfRule type="containsText" dxfId="1009" priority="1150" operator="containsText" text="HOLD">
      <formula>NOT(ISERROR(SEARCH("HOLD",I2)))</formula>
    </cfRule>
    <cfRule type="containsText" dxfId="1008" priority="1151" operator="containsText" text="COMPLETED">
      <formula>NOT(ISERROR(SEARCH("COMPLETED",I2)))</formula>
    </cfRule>
    <cfRule type="containsText" dxfId="1007" priority="1152" operator="containsText" text="NOT YET STARTED">
      <formula>NOT(ISERROR(SEARCH("NOT YET STARTED",I2)))</formula>
    </cfRule>
    <cfRule type="containsText" dxfId="1006" priority="1153" operator="containsText" text="IN PROGRESS">
      <formula>NOT(ISERROR(SEARCH("IN PROGRESS",I2)))</formula>
    </cfRule>
    <cfRule type="containsText" dxfId="1005" priority="1154" operator="containsText" text="HOLD">
      <formula>NOT(ISERROR(SEARCH("HOLD",I2)))</formula>
    </cfRule>
    <cfRule type="containsText" dxfId="1004" priority="1155" operator="containsText" text="COMPLETED">
      <formula>NOT(ISERROR(SEARCH("COMPLETED",I2)))</formula>
    </cfRule>
    <cfRule type="containsText" dxfId="1003" priority="1156" operator="containsText" text="NOT YET STARTED">
      <formula>NOT(ISERROR(SEARCH("NOT YET STARTED",I2)))</formula>
    </cfRule>
    <cfRule type="containsText" dxfId="1002" priority="1157" operator="containsText" text="IN PROGRESS">
      <formula>NOT(ISERROR(SEARCH("IN PROGRESS",I2)))</formula>
    </cfRule>
    <cfRule type="containsText" dxfId="1001" priority="1158" operator="containsText" text="HOLD">
      <formula>NOT(ISERROR(SEARCH("HOLD",I2)))</formula>
    </cfRule>
    <cfRule type="containsText" dxfId="1000" priority="1159" operator="containsText" text="COMPLETED">
      <formula>NOT(ISERROR(SEARCH("COMPLETED",I2)))</formula>
    </cfRule>
    <cfRule type="containsText" dxfId="999" priority="1160" operator="containsText" text="NOT YET STARTED">
      <formula>NOT(ISERROR(SEARCH("NOT YET STARTED",I2)))</formula>
    </cfRule>
    <cfRule type="containsText" dxfId="998" priority="1161" operator="containsText" text="IN PROGRESS">
      <formula>NOT(ISERROR(SEARCH("IN PROGRESS",I2)))</formula>
    </cfRule>
    <cfRule type="containsText" dxfId="997" priority="1162" operator="containsText" text="HOLD">
      <formula>NOT(ISERROR(SEARCH("HOLD",I2)))</formula>
    </cfRule>
    <cfRule type="containsText" dxfId="996" priority="1163" operator="containsText" text="COMPLETED">
      <formula>NOT(ISERROR(SEARCH("COMPLETED",I2)))</formula>
    </cfRule>
    <cfRule type="containsText" dxfId="995" priority="1164" operator="containsText" text="NOT YET STARTED">
      <formula>NOT(ISERROR(SEARCH("NOT YET STARTED",I2)))</formula>
    </cfRule>
    <cfRule type="containsText" dxfId="994" priority="1165" operator="containsText" text="IN PROGRESS">
      <formula>NOT(ISERROR(SEARCH("IN PROGRESS",I2)))</formula>
    </cfRule>
  </conditionalFormatting>
  <conditionalFormatting sqref="I2:I6">
    <cfRule type="containsText" dxfId="993" priority="999" operator="containsText" text="HOLD">
      <formula>NOT(ISERROR(SEARCH("HOLD",I2)))</formula>
    </cfRule>
    <cfRule type="containsText" dxfId="992" priority="1000" operator="containsText" text="COMPLETED">
      <formula>NOT(ISERROR(SEARCH("COMPLETED",I2)))</formula>
    </cfRule>
    <cfRule type="containsText" dxfId="991" priority="1001" operator="containsText" text="NOT YET STARTED">
      <formula>NOT(ISERROR(SEARCH("NOT YET STARTED",I2)))</formula>
    </cfRule>
    <cfRule type="containsText" dxfId="990" priority="1002" operator="containsText" text="IN PROGRESS">
      <formula>NOT(ISERROR(SEARCH("IN PROGRESS",I2)))</formula>
    </cfRule>
  </conditionalFormatting>
  <conditionalFormatting sqref="I4">
    <cfRule type="containsText" dxfId="989" priority="836" operator="containsText" text="HOLD">
      <formula>NOT(ISERROR(SEARCH("HOLD",I4)))</formula>
    </cfRule>
    <cfRule type="containsText" dxfId="988" priority="837" operator="containsText" text="COMPLETED">
      <formula>NOT(ISERROR(SEARCH("COMPLETED",I4)))</formula>
    </cfRule>
    <cfRule type="containsText" dxfId="987" priority="838" operator="containsText" text="NOT YET STARTED">
      <formula>NOT(ISERROR(SEARCH("NOT YET STARTED",I4)))</formula>
    </cfRule>
    <cfRule type="containsText" dxfId="986" priority="839" operator="containsText" text="IN PROGRESS">
      <formula>NOT(ISERROR(SEARCH("IN PROGRESS",I4)))</formula>
    </cfRule>
    <cfRule type="containsText" dxfId="985" priority="840" operator="containsText" text="HOLD">
      <formula>NOT(ISERROR(SEARCH("HOLD",I4)))</formula>
    </cfRule>
    <cfRule type="containsText" dxfId="984" priority="841" operator="containsText" text="COMPLETED">
      <formula>NOT(ISERROR(SEARCH("COMPLETED",I4)))</formula>
    </cfRule>
    <cfRule type="containsText" dxfId="983" priority="842" operator="containsText" text="NOT YET STARTED">
      <formula>NOT(ISERROR(SEARCH("NOT YET STARTED",I4)))</formula>
    </cfRule>
    <cfRule type="containsText" dxfId="982" priority="843" operator="containsText" text="IN PROGRESS">
      <formula>NOT(ISERROR(SEARCH("IN PROGRESS",I4)))</formula>
    </cfRule>
    <cfRule type="containsText" dxfId="981" priority="844" operator="containsText" text="HOLD">
      <formula>NOT(ISERROR(SEARCH("HOLD",I4)))</formula>
    </cfRule>
    <cfRule type="containsText" dxfId="980" priority="845" operator="containsText" text="COMPLETED">
      <formula>NOT(ISERROR(SEARCH("COMPLETED",I4)))</formula>
    </cfRule>
    <cfRule type="containsText" dxfId="979" priority="846" operator="containsText" text="NOT YET STARTED">
      <formula>NOT(ISERROR(SEARCH("NOT YET STARTED",I4)))</formula>
    </cfRule>
    <cfRule type="containsText" dxfId="978" priority="847" operator="containsText" text="IN PROGRESS">
      <formula>NOT(ISERROR(SEARCH("IN PROGRESS",I4)))</formula>
    </cfRule>
    <cfRule type="containsText" dxfId="977" priority="848" operator="containsText" text="HOLD">
      <formula>NOT(ISERROR(SEARCH("HOLD",I4)))</formula>
    </cfRule>
    <cfRule type="containsText" dxfId="976" priority="849" operator="containsText" text="COMPLETED">
      <formula>NOT(ISERROR(SEARCH("COMPLETED",I4)))</formula>
    </cfRule>
    <cfRule type="containsText" dxfId="975" priority="850" operator="containsText" text="NOT YET STARTED">
      <formula>NOT(ISERROR(SEARCH("NOT YET STARTED",I4)))</formula>
    </cfRule>
    <cfRule type="containsText" dxfId="974" priority="851" operator="containsText" text="IN PROGRESS">
      <formula>NOT(ISERROR(SEARCH("IN PROGRESS",I4)))</formula>
    </cfRule>
    <cfRule type="containsText" dxfId="973" priority="852" operator="containsText" text="HOLD">
      <formula>NOT(ISERROR(SEARCH("HOLD",I4)))</formula>
    </cfRule>
    <cfRule type="containsText" dxfId="972" priority="853" operator="containsText" text="COMPLETED">
      <formula>NOT(ISERROR(SEARCH("COMPLETED",I4)))</formula>
    </cfRule>
    <cfRule type="containsText" dxfId="971" priority="854" operator="containsText" text="NOT YET STARTED">
      <formula>NOT(ISERROR(SEARCH("NOT YET STARTED",I4)))</formula>
    </cfRule>
    <cfRule type="containsText" dxfId="970" priority="855" operator="containsText" text="IN PROGRESS">
      <formula>NOT(ISERROR(SEARCH("IN PROGRESS",I4)))</formula>
    </cfRule>
    <cfRule type="containsText" dxfId="969" priority="856" operator="containsText" text="HOLD">
      <formula>NOT(ISERROR(SEARCH("HOLD",I4)))</formula>
    </cfRule>
    <cfRule type="containsText" dxfId="968" priority="857" operator="containsText" text="COMPLETED">
      <formula>NOT(ISERROR(SEARCH("COMPLETED",I4)))</formula>
    </cfRule>
    <cfRule type="containsText" dxfId="967" priority="858" operator="containsText" text="NOT YET STARTED">
      <formula>NOT(ISERROR(SEARCH("NOT YET STARTED",I4)))</formula>
    </cfRule>
    <cfRule type="containsText" dxfId="966" priority="859" operator="containsText" text="IN PROGRESS">
      <formula>NOT(ISERROR(SEARCH("IN PROGRESS",I4)))</formula>
    </cfRule>
    <cfRule type="containsText" dxfId="965" priority="860" operator="containsText" text="HOLD">
      <formula>NOT(ISERROR(SEARCH("HOLD",I4)))</formula>
    </cfRule>
    <cfRule type="containsText" dxfId="964" priority="861" operator="containsText" text="COMPLETED">
      <formula>NOT(ISERROR(SEARCH("COMPLETED",I4)))</formula>
    </cfRule>
    <cfRule type="containsText" dxfId="963" priority="862" operator="containsText" text="NOT YET STARTED">
      <formula>NOT(ISERROR(SEARCH("NOT YET STARTED",I4)))</formula>
    </cfRule>
    <cfRule type="containsText" dxfId="962" priority="863" operator="containsText" text="IN PROGRESS">
      <formula>NOT(ISERROR(SEARCH("IN PROGRESS",I4)))</formula>
    </cfRule>
    <cfRule type="containsText" dxfId="961" priority="864" operator="containsText" text="HOLD">
      <formula>NOT(ISERROR(SEARCH("HOLD",I4)))</formula>
    </cfRule>
    <cfRule type="containsText" dxfId="960" priority="865" operator="containsText" text="COMPLETED">
      <formula>NOT(ISERROR(SEARCH("COMPLETED",I4)))</formula>
    </cfRule>
    <cfRule type="containsText" dxfId="959" priority="866" operator="containsText" text="NOT YET STARTED">
      <formula>NOT(ISERROR(SEARCH("NOT YET STARTED",I4)))</formula>
    </cfRule>
    <cfRule type="containsText" dxfId="958" priority="867" operator="containsText" text="IN PROGRESS">
      <formula>NOT(ISERROR(SEARCH("IN PROGRESS",I4)))</formula>
    </cfRule>
    <cfRule type="containsText" dxfId="957" priority="868" operator="containsText" text="HOLD">
      <formula>NOT(ISERROR(SEARCH("HOLD",I4)))</formula>
    </cfRule>
    <cfRule type="containsText" dxfId="956" priority="869" operator="containsText" text="COMPLETED">
      <formula>NOT(ISERROR(SEARCH("COMPLETED",I4)))</formula>
    </cfRule>
    <cfRule type="containsText" dxfId="955" priority="870" operator="containsText" text="NOT YET STARTED">
      <formula>NOT(ISERROR(SEARCH("NOT YET STARTED",I4)))</formula>
    </cfRule>
    <cfRule type="containsText" dxfId="954" priority="871" operator="containsText" text="IN PROGRESS">
      <formula>NOT(ISERROR(SEARCH("IN PROGRESS",I4)))</formula>
    </cfRule>
    <cfRule type="containsText" dxfId="953" priority="872" operator="containsText" text="HOLD">
      <formula>NOT(ISERROR(SEARCH("HOLD",I4)))</formula>
    </cfRule>
    <cfRule type="containsText" dxfId="952" priority="873" operator="containsText" text="COMPLETED">
      <formula>NOT(ISERROR(SEARCH("COMPLETED",I4)))</formula>
    </cfRule>
    <cfRule type="containsText" dxfId="951" priority="874" operator="containsText" text="NOT YET STARTED">
      <formula>NOT(ISERROR(SEARCH("NOT YET STARTED",I4)))</formula>
    </cfRule>
    <cfRule type="containsText" dxfId="950" priority="875" operator="containsText" text="IN PROGRESS">
      <formula>NOT(ISERROR(SEARCH("IN PROGRESS",I4)))</formula>
    </cfRule>
    <cfRule type="containsText" dxfId="949" priority="876" operator="containsText" text="HOLD">
      <formula>NOT(ISERROR(SEARCH("HOLD",I4)))</formula>
    </cfRule>
    <cfRule type="containsText" dxfId="948" priority="877" operator="containsText" text="COMPLETED">
      <formula>NOT(ISERROR(SEARCH("COMPLETED",I4)))</formula>
    </cfRule>
    <cfRule type="containsText" dxfId="947" priority="878" operator="containsText" text="NOT YET STARTED">
      <formula>NOT(ISERROR(SEARCH("NOT YET STARTED",I4)))</formula>
    </cfRule>
    <cfRule type="containsText" dxfId="946" priority="879" operator="containsText" text="IN PROGRESS">
      <formula>NOT(ISERROR(SEARCH("IN PROGRESS",I4)))</formula>
    </cfRule>
    <cfRule type="containsText" dxfId="945" priority="880" operator="containsText" text="HOLD">
      <formula>NOT(ISERROR(SEARCH("HOLD",I4)))</formula>
    </cfRule>
    <cfRule type="containsText" dxfId="944" priority="881" operator="containsText" text="COMPLETED">
      <formula>NOT(ISERROR(SEARCH("COMPLETED",I4)))</formula>
    </cfRule>
    <cfRule type="containsText" dxfId="943" priority="882" operator="containsText" text="NOT YET STARTED">
      <formula>NOT(ISERROR(SEARCH("NOT YET STARTED",I4)))</formula>
    </cfRule>
    <cfRule type="containsText" dxfId="942" priority="883" operator="containsText" text="IN PROGRESS">
      <formula>NOT(ISERROR(SEARCH("IN PROGRESS",I4)))</formula>
    </cfRule>
    <cfRule type="containsText" dxfId="941" priority="884" operator="containsText" text="HOLD">
      <formula>NOT(ISERROR(SEARCH("HOLD",I4)))</formula>
    </cfRule>
    <cfRule type="containsText" dxfId="940" priority="885" operator="containsText" text="COMPLETED">
      <formula>NOT(ISERROR(SEARCH("COMPLETED",I4)))</formula>
    </cfRule>
    <cfRule type="containsText" dxfId="939" priority="886" operator="containsText" text="NOT YET STARTED">
      <formula>NOT(ISERROR(SEARCH("NOT YET STARTED",I4)))</formula>
    </cfRule>
    <cfRule type="containsText" dxfId="938" priority="887" operator="containsText" text="IN PROGRESS">
      <formula>NOT(ISERROR(SEARCH("IN PROGRESS",I4)))</formula>
    </cfRule>
    <cfRule type="containsText" dxfId="937" priority="888" operator="containsText" text="HOLD">
      <formula>NOT(ISERROR(SEARCH("HOLD",I4)))</formula>
    </cfRule>
    <cfRule type="containsText" dxfId="936" priority="889" operator="containsText" text="COMPLETED">
      <formula>NOT(ISERROR(SEARCH("COMPLETED",I4)))</formula>
    </cfRule>
    <cfRule type="containsText" dxfId="935" priority="890" operator="containsText" text="NOT YET STARTED">
      <formula>NOT(ISERROR(SEARCH("NOT YET STARTED",I4)))</formula>
    </cfRule>
    <cfRule type="containsText" dxfId="934" priority="891" operator="containsText" text="IN PROGRESS">
      <formula>NOT(ISERROR(SEARCH("IN PROGRESS",I4)))</formula>
    </cfRule>
    <cfRule type="containsText" dxfId="933" priority="892" operator="containsText" text="HOLD">
      <formula>NOT(ISERROR(SEARCH("HOLD",I4)))</formula>
    </cfRule>
    <cfRule type="containsText" dxfId="932" priority="893" operator="containsText" text="COMPLETED">
      <formula>NOT(ISERROR(SEARCH("COMPLETED",I4)))</formula>
    </cfRule>
    <cfRule type="containsText" dxfId="931" priority="894" operator="containsText" text="NOT YET STARTED">
      <formula>NOT(ISERROR(SEARCH("NOT YET STARTED",I4)))</formula>
    </cfRule>
    <cfRule type="containsText" dxfId="930" priority="895" operator="containsText" text="IN PROGRESS">
      <formula>NOT(ISERROR(SEARCH("IN PROGRESS",I4)))</formula>
    </cfRule>
    <cfRule type="containsText" dxfId="929" priority="896" operator="containsText" text="HOLD">
      <formula>NOT(ISERROR(SEARCH("HOLD",I4)))</formula>
    </cfRule>
    <cfRule type="containsText" dxfId="928" priority="897" operator="containsText" text="COMPLETED">
      <formula>NOT(ISERROR(SEARCH("COMPLETED",I4)))</formula>
    </cfRule>
    <cfRule type="containsText" dxfId="927" priority="898" operator="containsText" text="NOT YET STARTED">
      <formula>NOT(ISERROR(SEARCH("NOT YET STARTED",I4)))</formula>
    </cfRule>
    <cfRule type="containsText" dxfId="926" priority="899" operator="containsText" text="IN PROGRESS">
      <formula>NOT(ISERROR(SEARCH("IN PROGRESS",I4)))</formula>
    </cfRule>
    <cfRule type="containsText" dxfId="925" priority="900" operator="containsText" text="HOLD">
      <formula>NOT(ISERROR(SEARCH("HOLD",I4)))</formula>
    </cfRule>
    <cfRule type="containsText" dxfId="924" priority="901" operator="containsText" text="COMPLETED">
      <formula>NOT(ISERROR(SEARCH("COMPLETED",I4)))</formula>
    </cfRule>
    <cfRule type="containsText" dxfId="923" priority="902" operator="containsText" text="NOT YET STARTED">
      <formula>NOT(ISERROR(SEARCH("NOT YET STARTED",I4)))</formula>
    </cfRule>
    <cfRule type="containsText" dxfId="922" priority="903" operator="containsText" text="IN PROGRESS">
      <formula>NOT(ISERROR(SEARCH("IN PROGRESS",I4)))</formula>
    </cfRule>
    <cfRule type="containsText" dxfId="921" priority="904" operator="containsText" text="HOLD">
      <formula>NOT(ISERROR(SEARCH("HOLD",I4)))</formula>
    </cfRule>
    <cfRule type="containsText" dxfId="920" priority="905" operator="containsText" text="COMPLETED">
      <formula>NOT(ISERROR(SEARCH("COMPLETED",I4)))</formula>
    </cfRule>
    <cfRule type="containsText" dxfId="919" priority="906" operator="containsText" text="NOT YET STARTED">
      <formula>NOT(ISERROR(SEARCH("NOT YET STARTED",I4)))</formula>
    </cfRule>
    <cfRule type="containsText" dxfId="918" priority="907" operator="containsText" text="IN PROGRESS">
      <formula>NOT(ISERROR(SEARCH("IN PROGRESS",I4)))</formula>
    </cfRule>
    <cfRule type="containsText" dxfId="917" priority="908" operator="containsText" text="HOLD">
      <formula>NOT(ISERROR(SEARCH("HOLD",I4)))</formula>
    </cfRule>
    <cfRule type="containsText" dxfId="916" priority="909" operator="containsText" text="COMPLETED">
      <formula>NOT(ISERROR(SEARCH("COMPLETED",I4)))</formula>
    </cfRule>
    <cfRule type="containsText" dxfId="915" priority="910" operator="containsText" text="NOT YET STARTED">
      <formula>NOT(ISERROR(SEARCH("NOT YET STARTED",I4)))</formula>
    </cfRule>
    <cfRule type="containsText" dxfId="914" priority="911" operator="containsText" text="IN PROGRESS">
      <formula>NOT(ISERROR(SEARCH("IN PROGRESS",I4)))</formula>
    </cfRule>
    <cfRule type="containsText" dxfId="913" priority="912" operator="containsText" text="HOLD">
      <formula>NOT(ISERROR(SEARCH("HOLD",I4)))</formula>
    </cfRule>
    <cfRule type="containsText" dxfId="912" priority="913" operator="containsText" text="COMPLETED">
      <formula>NOT(ISERROR(SEARCH("COMPLETED",I4)))</formula>
    </cfRule>
    <cfRule type="containsText" dxfId="911" priority="914" operator="containsText" text="NOT YET STARTED">
      <formula>NOT(ISERROR(SEARCH("NOT YET STARTED",I4)))</formula>
    </cfRule>
    <cfRule type="containsText" dxfId="910" priority="915" operator="containsText" text="IN PROGRESS">
      <formula>NOT(ISERROR(SEARCH("IN PROGRESS",I4)))</formula>
    </cfRule>
    <cfRule type="containsText" dxfId="909" priority="916" operator="containsText" text="HOLD">
      <formula>NOT(ISERROR(SEARCH("HOLD",I4)))</formula>
    </cfRule>
    <cfRule type="containsText" dxfId="908" priority="917" operator="containsText" text="COMPLETED">
      <formula>NOT(ISERROR(SEARCH("COMPLETED",I4)))</formula>
    </cfRule>
    <cfRule type="containsText" dxfId="907" priority="918" operator="containsText" text="NOT YET STARTED">
      <formula>NOT(ISERROR(SEARCH("NOT YET STARTED",I4)))</formula>
    </cfRule>
    <cfRule type="containsText" dxfId="906" priority="919" operator="containsText" text="IN PROGRESS">
      <formula>NOT(ISERROR(SEARCH("IN PROGRESS",I4)))</formula>
    </cfRule>
    <cfRule type="containsText" dxfId="905" priority="920" operator="containsText" text="HOLD">
      <formula>NOT(ISERROR(SEARCH("HOLD",I4)))</formula>
    </cfRule>
    <cfRule type="containsText" dxfId="904" priority="921" operator="containsText" text="COMPLETED">
      <formula>NOT(ISERROR(SEARCH("COMPLETED",I4)))</formula>
    </cfRule>
    <cfRule type="containsText" dxfId="903" priority="922" operator="containsText" text="NOT YET STARTED">
      <formula>NOT(ISERROR(SEARCH("NOT YET STARTED",I4)))</formula>
    </cfRule>
    <cfRule type="containsText" dxfId="902" priority="923" operator="containsText" text="IN PROGRESS">
      <formula>NOT(ISERROR(SEARCH("IN PROGRESS",I4)))</formula>
    </cfRule>
    <cfRule type="containsText" dxfId="901" priority="924" operator="containsText" text="HOLD">
      <formula>NOT(ISERROR(SEARCH("HOLD",I4)))</formula>
    </cfRule>
    <cfRule type="containsText" dxfId="900" priority="925" operator="containsText" text="COMPLETED">
      <formula>NOT(ISERROR(SEARCH("COMPLETED",I4)))</formula>
    </cfRule>
    <cfRule type="containsText" dxfId="899" priority="926" operator="containsText" text="NOT YET STARTED">
      <formula>NOT(ISERROR(SEARCH("NOT YET STARTED",I4)))</formula>
    </cfRule>
    <cfRule type="containsText" dxfId="898" priority="927" operator="containsText" text="IN PROGRESS">
      <formula>NOT(ISERROR(SEARCH("IN PROGRESS",I4)))</formula>
    </cfRule>
    <cfRule type="containsText" dxfId="897" priority="928" operator="containsText" text="HOLD">
      <formula>NOT(ISERROR(SEARCH("HOLD",I4)))</formula>
    </cfRule>
    <cfRule type="containsText" dxfId="896" priority="929" operator="containsText" text="COMPLETED">
      <formula>NOT(ISERROR(SEARCH("COMPLETED",I4)))</formula>
    </cfRule>
    <cfRule type="containsText" dxfId="895" priority="930" operator="containsText" text="NOT YET STARTED">
      <formula>NOT(ISERROR(SEARCH("NOT YET STARTED",I4)))</formula>
    </cfRule>
    <cfRule type="containsText" dxfId="894" priority="931" operator="containsText" text="IN PROGRESS">
      <formula>NOT(ISERROR(SEARCH("IN PROGRESS",I4)))</formula>
    </cfRule>
    <cfRule type="containsText" dxfId="893" priority="932" operator="containsText" text="HOLD">
      <formula>NOT(ISERROR(SEARCH("HOLD",I4)))</formula>
    </cfRule>
    <cfRule type="containsText" dxfId="892" priority="933" operator="containsText" text="COMPLETED">
      <formula>NOT(ISERROR(SEARCH("COMPLETED",I4)))</formula>
    </cfRule>
    <cfRule type="containsText" dxfId="891" priority="934" operator="containsText" text="NOT YET STARTED">
      <formula>NOT(ISERROR(SEARCH("NOT YET STARTED",I4)))</formula>
    </cfRule>
    <cfRule type="containsText" dxfId="890" priority="935" operator="containsText" text="IN PROGRESS">
      <formula>NOT(ISERROR(SEARCH("IN PROGRESS",I4)))</formula>
    </cfRule>
    <cfRule type="containsText" dxfId="889" priority="936" operator="containsText" text="HOLD">
      <formula>NOT(ISERROR(SEARCH("HOLD",I4)))</formula>
    </cfRule>
    <cfRule type="containsText" dxfId="888" priority="937" operator="containsText" text="COMPLETED">
      <formula>NOT(ISERROR(SEARCH("COMPLETED",I4)))</formula>
    </cfRule>
    <cfRule type="containsText" dxfId="887" priority="938" operator="containsText" text="NOT YET STARTED">
      <formula>NOT(ISERROR(SEARCH("NOT YET STARTED",I4)))</formula>
    </cfRule>
    <cfRule type="containsText" dxfId="886" priority="939" operator="containsText" text="IN PROGRESS">
      <formula>NOT(ISERROR(SEARCH("IN PROGRESS",I4)))</formula>
    </cfRule>
    <cfRule type="containsText" dxfId="885" priority="940" operator="containsText" text="HOLD">
      <formula>NOT(ISERROR(SEARCH("HOLD",I4)))</formula>
    </cfRule>
    <cfRule type="containsText" dxfId="884" priority="941" operator="containsText" text="COMPLETED">
      <formula>NOT(ISERROR(SEARCH("COMPLETED",I4)))</formula>
    </cfRule>
    <cfRule type="containsText" dxfId="883" priority="942" operator="containsText" text="NOT YET STARTED">
      <formula>NOT(ISERROR(SEARCH("NOT YET STARTED",I4)))</formula>
    </cfRule>
    <cfRule type="containsText" dxfId="882" priority="943" operator="containsText" text="IN PROGRESS">
      <formula>NOT(ISERROR(SEARCH("IN PROGRESS",I4)))</formula>
    </cfRule>
    <cfRule type="containsText" dxfId="881" priority="944" operator="containsText" text="HOLD">
      <formula>NOT(ISERROR(SEARCH("HOLD",I4)))</formula>
    </cfRule>
    <cfRule type="containsText" dxfId="880" priority="945" operator="containsText" text="COMPLETED">
      <formula>NOT(ISERROR(SEARCH("COMPLETED",I4)))</formula>
    </cfRule>
    <cfRule type="containsText" dxfId="879" priority="946" operator="containsText" text="NOT YET STARTED">
      <formula>NOT(ISERROR(SEARCH("NOT YET STARTED",I4)))</formula>
    </cfRule>
    <cfRule type="containsText" dxfId="878" priority="947" operator="containsText" text="IN PROGRESS">
      <formula>NOT(ISERROR(SEARCH("IN PROGRESS",I4)))</formula>
    </cfRule>
    <cfRule type="containsText" dxfId="877" priority="948" operator="containsText" text="HOLD">
      <formula>NOT(ISERROR(SEARCH("HOLD",I4)))</formula>
    </cfRule>
    <cfRule type="containsText" dxfId="876" priority="949" operator="containsText" text="COMPLETED">
      <formula>NOT(ISERROR(SEARCH("COMPLETED",I4)))</formula>
    </cfRule>
    <cfRule type="containsText" dxfId="875" priority="950" operator="containsText" text="NOT YET STARTED">
      <formula>NOT(ISERROR(SEARCH("NOT YET STARTED",I4)))</formula>
    </cfRule>
    <cfRule type="containsText" dxfId="874" priority="951" operator="containsText" text="IN PROGRESS">
      <formula>NOT(ISERROR(SEARCH("IN PROGRESS",I4)))</formula>
    </cfRule>
    <cfRule type="containsText" dxfId="873" priority="952" operator="containsText" text="HOLD">
      <formula>NOT(ISERROR(SEARCH("HOLD",I4)))</formula>
    </cfRule>
    <cfRule type="containsText" dxfId="872" priority="953" operator="containsText" text="COMPLETED">
      <formula>NOT(ISERROR(SEARCH("COMPLETED",I4)))</formula>
    </cfRule>
    <cfRule type="containsText" dxfId="871" priority="954" operator="containsText" text="NOT YET STARTED">
      <formula>NOT(ISERROR(SEARCH("NOT YET STARTED",I4)))</formula>
    </cfRule>
    <cfRule type="containsText" dxfId="870" priority="955" operator="containsText" text="IN PROGRESS">
      <formula>NOT(ISERROR(SEARCH("IN PROGRESS",I4)))</formula>
    </cfRule>
    <cfRule type="containsText" dxfId="869" priority="956" operator="containsText" text="HOLD">
      <formula>NOT(ISERROR(SEARCH("HOLD",I4)))</formula>
    </cfRule>
    <cfRule type="containsText" dxfId="868" priority="957" operator="containsText" text="COMPLETED">
      <formula>NOT(ISERROR(SEARCH("COMPLETED",I4)))</formula>
    </cfRule>
    <cfRule type="containsText" dxfId="867" priority="958" operator="containsText" text="NOT YET STARTED">
      <formula>NOT(ISERROR(SEARCH("NOT YET STARTED",I4)))</formula>
    </cfRule>
    <cfRule type="containsText" dxfId="866" priority="959" operator="containsText" text="IN PROGRESS">
      <formula>NOT(ISERROR(SEARCH("IN PROGRESS",I4)))</formula>
    </cfRule>
    <cfRule type="containsText" dxfId="865" priority="960" operator="containsText" text="HOLD">
      <formula>NOT(ISERROR(SEARCH("HOLD",I4)))</formula>
    </cfRule>
    <cfRule type="containsText" dxfId="864" priority="961" operator="containsText" text="COMPLETED">
      <formula>NOT(ISERROR(SEARCH("COMPLETED",I4)))</formula>
    </cfRule>
    <cfRule type="containsText" dxfId="863" priority="962" operator="containsText" text="NOT YET STARTED">
      <formula>NOT(ISERROR(SEARCH("NOT YET STARTED",I4)))</formula>
    </cfRule>
    <cfRule type="containsText" dxfId="862" priority="963" operator="containsText" text="IN PROGRESS">
      <formula>NOT(ISERROR(SEARCH("IN PROGRESS",I4)))</formula>
    </cfRule>
    <cfRule type="containsText" dxfId="861" priority="964" operator="containsText" text="HOLD">
      <formula>NOT(ISERROR(SEARCH("HOLD",I4)))</formula>
    </cfRule>
    <cfRule type="containsText" dxfId="860" priority="965" operator="containsText" text="COMPLETED">
      <formula>NOT(ISERROR(SEARCH("COMPLETED",I4)))</formula>
    </cfRule>
    <cfRule type="containsText" dxfId="859" priority="966" operator="containsText" text="NOT YET STARTED">
      <formula>NOT(ISERROR(SEARCH("NOT YET STARTED",I4)))</formula>
    </cfRule>
    <cfRule type="containsText" dxfId="858" priority="967" operator="containsText" text="IN PROGRESS">
      <formula>NOT(ISERROR(SEARCH("IN PROGRESS",I4)))</formula>
    </cfRule>
    <cfRule type="containsText" dxfId="857" priority="968" operator="containsText" text="COMPLETED">
      <formula>NOT(ISERROR(SEARCH("COMPLETED",I4)))</formula>
    </cfRule>
    <cfRule type="containsText" dxfId="856" priority="969" operator="containsText" text="NOT YET STARTED">
      <formula>NOT(ISERROR(SEARCH("NOT YET STARTED",I4)))</formula>
    </cfRule>
    <cfRule type="containsText" dxfId="855" priority="970" operator="containsText" text="IN PROGRESS">
      <formula>NOT(ISERROR(SEARCH("IN PROGRESS",I4)))</formula>
    </cfRule>
    <cfRule type="containsText" dxfId="854" priority="971" operator="containsText" text="HOLD">
      <formula>NOT(ISERROR(SEARCH("HOLD",I4)))</formula>
    </cfRule>
    <cfRule type="containsText" dxfId="853" priority="972" operator="containsText" text="COMPLETED">
      <formula>NOT(ISERROR(SEARCH("COMPLETED",I4)))</formula>
    </cfRule>
    <cfRule type="containsText" dxfId="852" priority="973" operator="containsText" text="NOT YET STARTED">
      <formula>NOT(ISERROR(SEARCH("NOT YET STARTED",I4)))</formula>
    </cfRule>
    <cfRule type="containsText" dxfId="851" priority="974" operator="containsText" text="IN PROGRESS">
      <formula>NOT(ISERROR(SEARCH("IN PROGRESS",I4)))</formula>
    </cfRule>
    <cfRule type="containsText" dxfId="850" priority="975" operator="containsText" text="HOLD">
      <formula>NOT(ISERROR(SEARCH("HOLD",I4)))</formula>
    </cfRule>
    <cfRule type="containsText" dxfId="849" priority="976" operator="containsText" text="COMPLETED">
      <formula>NOT(ISERROR(SEARCH("COMPLETED",I4)))</formula>
    </cfRule>
    <cfRule type="containsText" dxfId="848" priority="977" operator="containsText" text="NOT YET STARTED">
      <formula>NOT(ISERROR(SEARCH("NOT YET STARTED",I4)))</formula>
    </cfRule>
    <cfRule type="containsText" dxfId="847" priority="978" operator="containsText" text="IN PROGRESS">
      <formula>NOT(ISERROR(SEARCH("IN PROGRESS",I4)))</formula>
    </cfRule>
    <cfRule type="containsText" dxfId="846" priority="979" operator="containsText" text="HOLD">
      <formula>NOT(ISERROR(SEARCH("HOLD",I4)))</formula>
    </cfRule>
    <cfRule type="containsText" dxfId="845" priority="980" operator="containsText" text="COMPLETED">
      <formula>NOT(ISERROR(SEARCH("COMPLETED",I4)))</formula>
    </cfRule>
    <cfRule type="containsText" dxfId="844" priority="981" operator="containsText" text="NOT YET STARTED">
      <formula>NOT(ISERROR(SEARCH("NOT YET STARTED",I4)))</formula>
    </cfRule>
    <cfRule type="containsText" dxfId="843" priority="982" operator="containsText" text="IN PROGRESS">
      <formula>NOT(ISERROR(SEARCH("IN PROGRESS",I4)))</formula>
    </cfRule>
    <cfRule type="containsText" dxfId="842" priority="983" operator="containsText" text="HOLD">
      <formula>NOT(ISERROR(SEARCH("HOLD",I4)))</formula>
    </cfRule>
    <cfRule type="containsText" dxfId="841" priority="984" operator="containsText" text="COMPLETED">
      <formula>NOT(ISERROR(SEARCH("COMPLETED",I4)))</formula>
    </cfRule>
    <cfRule type="containsText" dxfId="840" priority="985" operator="containsText" text="NOT YET STARTED">
      <formula>NOT(ISERROR(SEARCH("NOT YET STARTED",I4)))</formula>
    </cfRule>
    <cfRule type="containsText" dxfId="839" priority="986" operator="containsText" text="IN PROGRESS">
      <formula>NOT(ISERROR(SEARCH("IN PROGRESS",I4)))</formula>
    </cfRule>
    <cfRule type="containsText" dxfId="838" priority="987" operator="containsText" text="HOLD">
      <formula>NOT(ISERROR(SEARCH("HOLD",I4)))</formula>
    </cfRule>
    <cfRule type="containsText" dxfId="837" priority="988" operator="containsText" text="COMPLETED">
      <formula>NOT(ISERROR(SEARCH("COMPLETED",I4)))</formula>
    </cfRule>
    <cfRule type="containsText" dxfId="836" priority="989" operator="containsText" text="NOT YET STARTED">
      <formula>NOT(ISERROR(SEARCH("NOT YET STARTED",I4)))</formula>
    </cfRule>
    <cfRule type="containsText" dxfId="835" priority="990" operator="containsText" text="IN PROGRESS">
      <formula>NOT(ISERROR(SEARCH("IN PROGRESS",I4)))</formula>
    </cfRule>
    <cfRule type="containsText" dxfId="834" priority="991" operator="containsText" text="HOLD">
      <formula>NOT(ISERROR(SEARCH("HOLD",I4)))</formula>
    </cfRule>
    <cfRule type="containsText" dxfId="833" priority="992" operator="containsText" text="COMPLETED">
      <formula>NOT(ISERROR(SEARCH("COMPLETED",I4)))</formula>
    </cfRule>
    <cfRule type="containsText" dxfId="832" priority="993" operator="containsText" text="NOT YET STARTED">
      <formula>NOT(ISERROR(SEARCH("NOT YET STARTED",I4)))</formula>
    </cfRule>
    <cfRule type="containsText" dxfId="831" priority="994" operator="containsText" text="IN PROGRESS">
      <formula>NOT(ISERROR(SEARCH("IN PROGRESS",I4)))</formula>
    </cfRule>
    <cfRule type="containsText" dxfId="830" priority="995" operator="containsText" text="HOLD">
      <formula>NOT(ISERROR(SEARCH("HOLD",I4)))</formula>
    </cfRule>
    <cfRule type="containsText" dxfId="829" priority="996" operator="containsText" text="COMPLETED">
      <formula>NOT(ISERROR(SEARCH("COMPLETED",I4)))</formula>
    </cfRule>
    <cfRule type="containsText" dxfId="828" priority="997" operator="containsText" text="NOT YET STARTED">
      <formula>NOT(ISERROR(SEARCH("NOT YET STARTED",I4)))</formula>
    </cfRule>
    <cfRule type="containsText" dxfId="827" priority="998" operator="containsText" text="IN PROGRESS">
      <formula>NOT(ISERROR(SEARCH("IN PROGRESS",I4)))</formula>
    </cfRule>
  </conditionalFormatting>
  <conditionalFormatting sqref="I7">
    <cfRule type="containsText" dxfId="826" priority="669" operator="containsText" text="HOLD">
      <formula>NOT(ISERROR(SEARCH("HOLD",I7)))</formula>
    </cfRule>
    <cfRule type="containsText" dxfId="825" priority="670" operator="containsText" text="COMPLETED">
      <formula>NOT(ISERROR(SEARCH("COMPLETED",I7)))</formula>
    </cfRule>
    <cfRule type="containsText" dxfId="824" priority="671" operator="containsText" text="NOT YET STARTED">
      <formula>NOT(ISERROR(SEARCH("NOT YET STARTED",I7)))</formula>
    </cfRule>
    <cfRule type="containsText" dxfId="823" priority="672" operator="containsText" text="IN PROGRESS">
      <formula>NOT(ISERROR(SEARCH("IN PROGRESS",I7)))</formula>
    </cfRule>
    <cfRule type="containsText" dxfId="822" priority="673" operator="containsText" text="HOLD">
      <formula>NOT(ISERROR(SEARCH("HOLD",I7)))</formula>
    </cfRule>
    <cfRule type="containsText" dxfId="821" priority="674" operator="containsText" text="COMPLETED">
      <formula>NOT(ISERROR(SEARCH("COMPLETED",I7)))</formula>
    </cfRule>
    <cfRule type="containsText" dxfId="820" priority="675" operator="containsText" text="NOT YET STARTED">
      <formula>NOT(ISERROR(SEARCH("NOT YET STARTED",I7)))</formula>
    </cfRule>
    <cfRule type="containsText" dxfId="819" priority="676" operator="containsText" text="IN PROGRESS">
      <formula>NOT(ISERROR(SEARCH("IN PROGRESS",I7)))</formula>
    </cfRule>
    <cfRule type="containsText" dxfId="818" priority="677" operator="containsText" text="HOLD">
      <formula>NOT(ISERROR(SEARCH("HOLD",I7)))</formula>
    </cfRule>
    <cfRule type="containsText" dxfId="817" priority="678" operator="containsText" text="COMPLETED">
      <formula>NOT(ISERROR(SEARCH("COMPLETED",I7)))</formula>
    </cfRule>
    <cfRule type="containsText" dxfId="816" priority="679" operator="containsText" text="NOT YET STARTED">
      <formula>NOT(ISERROR(SEARCH("NOT YET STARTED",I7)))</formula>
    </cfRule>
    <cfRule type="containsText" dxfId="815" priority="680" operator="containsText" text="IN PROGRESS">
      <formula>NOT(ISERROR(SEARCH("IN PROGRESS",I7)))</formula>
    </cfRule>
    <cfRule type="containsText" dxfId="814" priority="681" operator="containsText" text="HOLD">
      <formula>NOT(ISERROR(SEARCH("HOLD",I7)))</formula>
    </cfRule>
    <cfRule type="containsText" dxfId="813" priority="682" operator="containsText" text="COMPLETED">
      <formula>NOT(ISERROR(SEARCH("COMPLETED",I7)))</formula>
    </cfRule>
    <cfRule type="containsText" dxfId="812" priority="683" operator="containsText" text="NOT YET STARTED">
      <formula>NOT(ISERROR(SEARCH("NOT YET STARTED",I7)))</formula>
    </cfRule>
    <cfRule type="containsText" dxfId="811" priority="684" operator="containsText" text="IN PROGRESS">
      <formula>NOT(ISERROR(SEARCH("IN PROGRESS",I7)))</formula>
    </cfRule>
    <cfRule type="containsText" dxfId="810" priority="685" operator="containsText" text="HOLD">
      <formula>NOT(ISERROR(SEARCH("HOLD",I7)))</formula>
    </cfRule>
    <cfRule type="containsText" dxfId="809" priority="686" operator="containsText" text="COMPLETED">
      <formula>NOT(ISERROR(SEARCH("COMPLETED",I7)))</formula>
    </cfRule>
    <cfRule type="containsText" dxfId="808" priority="687" operator="containsText" text="NOT YET STARTED">
      <formula>NOT(ISERROR(SEARCH("NOT YET STARTED",I7)))</formula>
    </cfRule>
    <cfRule type="containsText" dxfId="807" priority="688" operator="containsText" text="IN PROGRESS">
      <formula>NOT(ISERROR(SEARCH("IN PROGRESS",I7)))</formula>
    </cfRule>
    <cfRule type="containsText" dxfId="806" priority="689" operator="containsText" text="HOLD">
      <formula>NOT(ISERROR(SEARCH("HOLD",I7)))</formula>
    </cfRule>
    <cfRule type="containsText" dxfId="805" priority="690" operator="containsText" text="COMPLETED">
      <formula>NOT(ISERROR(SEARCH("COMPLETED",I7)))</formula>
    </cfRule>
    <cfRule type="containsText" dxfId="804" priority="691" operator="containsText" text="NOT YET STARTED">
      <formula>NOT(ISERROR(SEARCH("NOT YET STARTED",I7)))</formula>
    </cfRule>
    <cfRule type="containsText" dxfId="803" priority="692" operator="containsText" text="IN PROGRESS">
      <formula>NOT(ISERROR(SEARCH("IN PROGRESS",I7)))</formula>
    </cfRule>
    <cfRule type="containsText" dxfId="802" priority="693" operator="containsText" text="HOLD">
      <formula>NOT(ISERROR(SEARCH("HOLD",I7)))</formula>
    </cfRule>
    <cfRule type="containsText" dxfId="801" priority="694" operator="containsText" text="COMPLETED">
      <formula>NOT(ISERROR(SEARCH("COMPLETED",I7)))</formula>
    </cfRule>
    <cfRule type="containsText" dxfId="800" priority="695" operator="containsText" text="NOT YET STARTED">
      <formula>NOT(ISERROR(SEARCH("NOT YET STARTED",I7)))</formula>
    </cfRule>
    <cfRule type="containsText" dxfId="799" priority="696" operator="containsText" text="IN PROGRESS">
      <formula>NOT(ISERROR(SEARCH("IN PROGRESS",I7)))</formula>
    </cfRule>
    <cfRule type="containsText" dxfId="798" priority="697" operator="containsText" text="HOLD">
      <formula>NOT(ISERROR(SEARCH("HOLD",I7)))</formula>
    </cfRule>
    <cfRule type="containsText" dxfId="797" priority="698" operator="containsText" text="COMPLETED">
      <formula>NOT(ISERROR(SEARCH("COMPLETED",I7)))</formula>
    </cfRule>
    <cfRule type="containsText" dxfId="796" priority="699" operator="containsText" text="NOT YET STARTED">
      <formula>NOT(ISERROR(SEARCH("NOT YET STARTED",I7)))</formula>
    </cfRule>
    <cfRule type="containsText" dxfId="795" priority="700" operator="containsText" text="IN PROGRESS">
      <formula>NOT(ISERROR(SEARCH("IN PROGRESS",I7)))</formula>
    </cfRule>
    <cfRule type="containsText" dxfId="794" priority="701" operator="containsText" text="HOLD">
      <formula>NOT(ISERROR(SEARCH("HOLD",I7)))</formula>
    </cfRule>
    <cfRule type="containsText" dxfId="793" priority="702" operator="containsText" text="COMPLETED">
      <formula>NOT(ISERROR(SEARCH("COMPLETED",I7)))</formula>
    </cfRule>
    <cfRule type="containsText" dxfId="792" priority="703" operator="containsText" text="NOT YET STARTED">
      <formula>NOT(ISERROR(SEARCH("NOT YET STARTED",I7)))</formula>
    </cfRule>
    <cfRule type="containsText" dxfId="791" priority="704" operator="containsText" text="IN PROGRESS">
      <formula>NOT(ISERROR(SEARCH("IN PROGRESS",I7)))</formula>
    </cfRule>
    <cfRule type="containsText" dxfId="790" priority="705" operator="containsText" text="HOLD">
      <formula>NOT(ISERROR(SEARCH("HOLD",I7)))</formula>
    </cfRule>
    <cfRule type="containsText" dxfId="789" priority="706" operator="containsText" text="COMPLETED">
      <formula>NOT(ISERROR(SEARCH("COMPLETED",I7)))</formula>
    </cfRule>
    <cfRule type="containsText" dxfId="788" priority="707" operator="containsText" text="NOT YET STARTED">
      <formula>NOT(ISERROR(SEARCH("NOT YET STARTED",I7)))</formula>
    </cfRule>
    <cfRule type="containsText" dxfId="787" priority="708" operator="containsText" text="IN PROGRESS">
      <formula>NOT(ISERROR(SEARCH("IN PROGRESS",I7)))</formula>
    </cfRule>
    <cfRule type="containsText" dxfId="786" priority="709" operator="containsText" text="HOLD">
      <formula>NOT(ISERROR(SEARCH("HOLD",I7)))</formula>
    </cfRule>
    <cfRule type="containsText" dxfId="785" priority="710" operator="containsText" text="COMPLETED">
      <formula>NOT(ISERROR(SEARCH("COMPLETED",I7)))</formula>
    </cfRule>
    <cfRule type="containsText" dxfId="784" priority="711" operator="containsText" text="NOT YET STARTED">
      <formula>NOT(ISERROR(SEARCH("NOT YET STARTED",I7)))</formula>
    </cfRule>
    <cfRule type="containsText" dxfId="783" priority="712" operator="containsText" text="IN PROGRESS">
      <formula>NOT(ISERROR(SEARCH("IN PROGRESS",I7)))</formula>
    </cfRule>
    <cfRule type="containsText" dxfId="782" priority="713" operator="containsText" text="HOLD">
      <formula>NOT(ISERROR(SEARCH("HOLD",I7)))</formula>
    </cfRule>
    <cfRule type="containsText" dxfId="781" priority="714" operator="containsText" text="COMPLETED">
      <formula>NOT(ISERROR(SEARCH("COMPLETED",I7)))</formula>
    </cfRule>
    <cfRule type="containsText" dxfId="780" priority="715" operator="containsText" text="NOT YET STARTED">
      <formula>NOT(ISERROR(SEARCH("NOT YET STARTED",I7)))</formula>
    </cfRule>
    <cfRule type="containsText" dxfId="779" priority="716" operator="containsText" text="IN PROGRESS">
      <formula>NOT(ISERROR(SEARCH("IN PROGRESS",I7)))</formula>
    </cfRule>
    <cfRule type="containsText" dxfId="778" priority="717" operator="containsText" text="HOLD">
      <formula>NOT(ISERROR(SEARCH("HOLD",I7)))</formula>
    </cfRule>
    <cfRule type="containsText" dxfId="777" priority="718" operator="containsText" text="COMPLETED">
      <formula>NOT(ISERROR(SEARCH("COMPLETED",I7)))</formula>
    </cfRule>
    <cfRule type="containsText" dxfId="776" priority="719" operator="containsText" text="NOT YET STARTED">
      <formula>NOT(ISERROR(SEARCH("NOT YET STARTED",I7)))</formula>
    </cfRule>
    <cfRule type="containsText" dxfId="775" priority="720" operator="containsText" text="IN PROGRESS">
      <formula>NOT(ISERROR(SEARCH("IN PROGRESS",I7)))</formula>
    </cfRule>
    <cfRule type="containsText" dxfId="774" priority="721" operator="containsText" text="HOLD">
      <formula>NOT(ISERROR(SEARCH("HOLD",I7)))</formula>
    </cfRule>
    <cfRule type="containsText" dxfId="773" priority="722" operator="containsText" text="COMPLETED">
      <formula>NOT(ISERROR(SEARCH("COMPLETED",I7)))</formula>
    </cfRule>
    <cfRule type="containsText" dxfId="772" priority="723" operator="containsText" text="NOT YET STARTED">
      <formula>NOT(ISERROR(SEARCH("NOT YET STARTED",I7)))</formula>
    </cfRule>
    <cfRule type="containsText" dxfId="771" priority="724" operator="containsText" text="IN PROGRESS">
      <formula>NOT(ISERROR(SEARCH("IN PROGRESS",I7)))</formula>
    </cfRule>
    <cfRule type="containsText" dxfId="770" priority="725" operator="containsText" text="HOLD">
      <formula>NOT(ISERROR(SEARCH("HOLD",I7)))</formula>
    </cfRule>
    <cfRule type="containsText" dxfId="769" priority="726" operator="containsText" text="COMPLETED">
      <formula>NOT(ISERROR(SEARCH("COMPLETED",I7)))</formula>
    </cfRule>
    <cfRule type="containsText" dxfId="768" priority="727" operator="containsText" text="NOT YET STARTED">
      <formula>NOT(ISERROR(SEARCH("NOT YET STARTED",I7)))</formula>
    </cfRule>
    <cfRule type="containsText" dxfId="767" priority="728" operator="containsText" text="IN PROGRESS">
      <formula>NOT(ISERROR(SEARCH("IN PROGRESS",I7)))</formula>
    </cfRule>
    <cfRule type="containsText" dxfId="766" priority="729" operator="containsText" text="HOLD">
      <formula>NOT(ISERROR(SEARCH("HOLD",I7)))</formula>
    </cfRule>
    <cfRule type="containsText" dxfId="765" priority="730" operator="containsText" text="COMPLETED">
      <formula>NOT(ISERROR(SEARCH("COMPLETED",I7)))</formula>
    </cfRule>
    <cfRule type="containsText" dxfId="764" priority="731" operator="containsText" text="NOT YET STARTED">
      <formula>NOT(ISERROR(SEARCH("NOT YET STARTED",I7)))</formula>
    </cfRule>
    <cfRule type="containsText" dxfId="763" priority="732" operator="containsText" text="IN PROGRESS">
      <formula>NOT(ISERROR(SEARCH("IN PROGRESS",I7)))</formula>
    </cfRule>
    <cfRule type="containsText" dxfId="762" priority="733" operator="containsText" text="HOLD">
      <formula>NOT(ISERROR(SEARCH("HOLD",I7)))</formula>
    </cfRule>
    <cfRule type="containsText" dxfId="761" priority="734" operator="containsText" text="COMPLETED">
      <formula>NOT(ISERROR(SEARCH("COMPLETED",I7)))</formula>
    </cfRule>
    <cfRule type="containsText" dxfId="760" priority="735" operator="containsText" text="NOT YET STARTED">
      <formula>NOT(ISERROR(SEARCH("NOT YET STARTED",I7)))</formula>
    </cfRule>
    <cfRule type="containsText" dxfId="759" priority="736" operator="containsText" text="IN PROGRESS">
      <formula>NOT(ISERROR(SEARCH("IN PROGRESS",I7)))</formula>
    </cfRule>
    <cfRule type="containsText" dxfId="758" priority="737" operator="containsText" text="HOLD">
      <formula>NOT(ISERROR(SEARCH("HOLD",I7)))</formula>
    </cfRule>
    <cfRule type="containsText" dxfId="757" priority="738" operator="containsText" text="COMPLETED">
      <formula>NOT(ISERROR(SEARCH("COMPLETED",I7)))</formula>
    </cfRule>
    <cfRule type="containsText" dxfId="756" priority="739" operator="containsText" text="NOT YET STARTED">
      <formula>NOT(ISERROR(SEARCH("NOT YET STARTED",I7)))</formula>
    </cfRule>
    <cfRule type="containsText" dxfId="755" priority="740" operator="containsText" text="IN PROGRESS">
      <formula>NOT(ISERROR(SEARCH("IN PROGRESS",I7)))</formula>
    </cfRule>
    <cfRule type="containsText" dxfId="754" priority="741" operator="containsText" text="HOLD">
      <formula>NOT(ISERROR(SEARCH("HOLD",I7)))</formula>
    </cfRule>
    <cfRule type="containsText" dxfId="753" priority="742" operator="containsText" text="COMPLETED">
      <formula>NOT(ISERROR(SEARCH("COMPLETED",I7)))</formula>
    </cfRule>
    <cfRule type="containsText" dxfId="752" priority="743" operator="containsText" text="NOT YET STARTED">
      <formula>NOT(ISERROR(SEARCH("NOT YET STARTED",I7)))</formula>
    </cfRule>
    <cfRule type="containsText" dxfId="751" priority="744" operator="containsText" text="IN PROGRESS">
      <formula>NOT(ISERROR(SEARCH("IN PROGRESS",I7)))</formula>
    </cfRule>
    <cfRule type="containsText" dxfId="750" priority="745" operator="containsText" text="HOLD">
      <formula>NOT(ISERROR(SEARCH("HOLD",I7)))</formula>
    </cfRule>
    <cfRule type="containsText" dxfId="749" priority="746" operator="containsText" text="COMPLETED">
      <formula>NOT(ISERROR(SEARCH("COMPLETED",I7)))</formula>
    </cfRule>
    <cfRule type="containsText" dxfId="748" priority="747" operator="containsText" text="NOT YET STARTED">
      <formula>NOT(ISERROR(SEARCH("NOT YET STARTED",I7)))</formula>
    </cfRule>
    <cfRule type="containsText" dxfId="747" priority="748" operator="containsText" text="IN PROGRESS">
      <formula>NOT(ISERROR(SEARCH("IN PROGRESS",I7)))</formula>
    </cfRule>
    <cfRule type="containsText" dxfId="746" priority="749" operator="containsText" text="HOLD">
      <formula>NOT(ISERROR(SEARCH("HOLD",I7)))</formula>
    </cfRule>
    <cfRule type="containsText" dxfId="745" priority="750" operator="containsText" text="COMPLETED">
      <formula>NOT(ISERROR(SEARCH("COMPLETED",I7)))</formula>
    </cfRule>
    <cfRule type="containsText" dxfId="744" priority="751" operator="containsText" text="NOT YET STARTED">
      <formula>NOT(ISERROR(SEARCH("NOT YET STARTED",I7)))</formula>
    </cfRule>
    <cfRule type="containsText" dxfId="743" priority="752" operator="containsText" text="IN PROGRESS">
      <formula>NOT(ISERROR(SEARCH("IN PROGRESS",I7)))</formula>
    </cfRule>
    <cfRule type="containsText" dxfId="742" priority="753" operator="containsText" text="HOLD">
      <formula>NOT(ISERROR(SEARCH("HOLD",I7)))</formula>
    </cfRule>
    <cfRule type="containsText" dxfId="741" priority="754" operator="containsText" text="COMPLETED">
      <formula>NOT(ISERROR(SEARCH("COMPLETED",I7)))</formula>
    </cfRule>
    <cfRule type="containsText" dxfId="740" priority="755" operator="containsText" text="NOT YET STARTED">
      <formula>NOT(ISERROR(SEARCH("NOT YET STARTED",I7)))</formula>
    </cfRule>
    <cfRule type="containsText" dxfId="739" priority="756" operator="containsText" text="IN PROGRESS">
      <formula>NOT(ISERROR(SEARCH("IN PROGRESS",I7)))</formula>
    </cfRule>
    <cfRule type="containsText" dxfId="738" priority="757" operator="containsText" text="HOLD">
      <formula>NOT(ISERROR(SEARCH("HOLD",I7)))</formula>
    </cfRule>
    <cfRule type="containsText" dxfId="737" priority="758" operator="containsText" text="COMPLETED">
      <formula>NOT(ISERROR(SEARCH("COMPLETED",I7)))</formula>
    </cfRule>
    <cfRule type="containsText" dxfId="736" priority="759" operator="containsText" text="NOT YET STARTED">
      <formula>NOT(ISERROR(SEARCH("NOT YET STARTED",I7)))</formula>
    </cfRule>
    <cfRule type="containsText" dxfId="735" priority="760" operator="containsText" text="IN PROGRESS">
      <formula>NOT(ISERROR(SEARCH("IN PROGRESS",I7)))</formula>
    </cfRule>
    <cfRule type="containsText" dxfId="734" priority="761" operator="containsText" text="HOLD">
      <formula>NOT(ISERROR(SEARCH("HOLD",I7)))</formula>
    </cfRule>
    <cfRule type="containsText" dxfId="733" priority="762" operator="containsText" text="COMPLETED">
      <formula>NOT(ISERROR(SEARCH("COMPLETED",I7)))</formula>
    </cfRule>
    <cfRule type="containsText" dxfId="732" priority="763" operator="containsText" text="NOT YET STARTED">
      <formula>NOT(ISERROR(SEARCH("NOT YET STARTED",I7)))</formula>
    </cfRule>
    <cfRule type="containsText" dxfId="731" priority="764" operator="containsText" text="IN PROGRESS">
      <formula>NOT(ISERROR(SEARCH("IN PROGRESS",I7)))</formula>
    </cfRule>
    <cfRule type="containsText" dxfId="730" priority="765" operator="containsText" text="HOLD">
      <formula>NOT(ISERROR(SEARCH("HOLD",I7)))</formula>
    </cfRule>
    <cfRule type="containsText" dxfId="729" priority="766" operator="containsText" text="COMPLETED">
      <formula>NOT(ISERROR(SEARCH("COMPLETED",I7)))</formula>
    </cfRule>
    <cfRule type="containsText" dxfId="728" priority="767" operator="containsText" text="NOT YET STARTED">
      <formula>NOT(ISERROR(SEARCH("NOT YET STARTED",I7)))</formula>
    </cfRule>
    <cfRule type="containsText" dxfId="727" priority="768" operator="containsText" text="IN PROGRESS">
      <formula>NOT(ISERROR(SEARCH("IN PROGRESS",I7)))</formula>
    </cfRule>
    <cfRule type="containsText" dxfId="726" priority="769" operator="containsText" text="HOLD">
      <formula>NOT(ISERROR(SEARCH("HOLD",I7)))</formula>
    </cfRule>
    <cfRule type="containsText" dxfId="725" priority="770" operator="containsText" text="COMPLETED">
      <formula>NOT(ISERROR(SEARCH("COMPLETED",I7)))</formula>
    </cfRule>
    <cfRule type="containsText" dxfId="724" priority="771" operator="containsText" text="NOT YET STARTED">
      <formula>NOT(ISERROR(SEARCH("NOT YET STARTED",I7)))</formula>
    </cfRule>
    <cfRule type="containsText" dxfId="723" priority="772" operator="containsText" text="IN PROGRESS">
      <formula>NOT(ISERROR(SEARCH("IN PROGRESS",I7)))</formula>
    </cfRule>
    <cfRule type="containsText" dxfId="722" priority="773" operator="containsText" text="HOLD">
      <formula>NOT(ISERROR(SEARCH("HOLD",I7)))</formula>
    </cfRule>
    <cfRule type="containsText" dxfId="721" priority="774" operator="containsText" text="COMPLETED">
      <formula>NOT(ISERROR(SEARCH("COMPLETED",I7)))</formula>
    </cfRule>
    <cfRule type="containsText" dxfId="720" priority="775" operator="containsText" text="NOT YET STARTED">
      <formula>NOT(ISERROR(SEARCH("NOT YET STARTED",I7)))</formula>
    </cfRule>
    <cfRule type="containsText" dxfId="719" priority="776" operator="containsText" text="IN PROGRESS">
      <formula>NOT(ISERROR(SEARCH("IN PROGRESS",I7)))</formula>
    </cfRule>
    <cfRule type="containsText" dxfId="718" priority="777" operator="containsText" text="HOLD">
      <formula>NOT(ISERROR(SEARCH("HOLD",I7)))</formula>
    </cfRule>
    <cfRule type="containsText" dxfId="717" priority="778" operator="containsText" text="COMPLETED">
      <formula>NOT(ISERROR(SEARCH("COMPLETED",I7)))</formula>
    </cfRule>
    <cfRule type="containsText" dxfId="716" priority="779" operator="containsText" text="NOT YET STARTED">
      <formula>NOT(ISERROR(SEARCH("NOT YET STARTED",I7)))</formula>
    </cfRule>
    <cfRule type="containsText" dxfId="715" priority="780" operator="containsText" text="IN PROGRESS">
      <formula>NOT(ISERROR(SEARCH("IN PROGRESS",I7)))</formula>
    </cfRule>
    <cfRule type="containsText" dxfId="714" priority="781" operator="containsText" text="HOLD">
      <formula>NOT(ISERROR(SEARCH("HOLD",I7)))</formula>
    </cfRule>
    <cfRule type="containsText" dxfId="713" priority="782" operator="containsText" text="COMPLETED">
      <formula>NOT(ISERROR(SEARCH("COMPLETED",I7)))</formula>
    </cfRule>
    <cfRule type="containsText" dxfId="712" priority="783" operator="containsText" text="NOT YET STARTED">
      <formula>NOT(ISERROR(SEARCH("NOT YET STARTED",I7)))</formula>
    </cfRule>
    <cfRule type="containsText" dxfId="711" priority="784" operator="containsText" text="IN PROGRESS">
      <formula>NOT(ISERROR(SEARCH("IN PROGRESS",I7)))</formula>
    </cfRule>
    <cfRule type="containsText" dxfId="710" priority="785" operator="containsText" text="HOLD">
      <formula>NOT(ISERROR(SEARCH("HOLD",I7)))</formula>
    </cfRule>
    <cfRule type="containsText" dxfId="709" priority="786" operator="containsText" text="COMPLETED">
      <formula>NOT(ISERROR(SEARCH("COMPLETED",I7)))</formula>
    </cfRule>
    <cfRule type="containsText" dxfId="708" priority="787" operator="containsText" text="NOT YET STARTED">
      <formula>NOT(ISERROR(SEARCH("NOT YET STARTED",I7)))</formula>
    </cfRule>
    <cfRule type="containsText" dxfId="707" priority="788" operator="containsText" text="IN PROGRESS">
      <formula>NOT(ISERROR(SEARCH("IN PROGRESS",I7)))</formula>
    </cfRule>
    <cfRule type="containsText" dxfId="706" priority="789" operator="containsText" text="HOLD">
      <formula>NOT(ISERROR(SEARCH("HOLD",I7)))</formula>
    </cfRule>
    <cfRule type="containsText" dxfId="705" priority="790" operator="containsText" text="COMPLETED">
      <formula>NOT(ISERROR(SEARCH("COMPLETED",I7)))</formula>
    </cfRule>
    <cfRule type="containsText" dxfId="704" priority="791" operator="containsText" text="NOT YET STARTED">
      <formula>NOT(ISERROR(SEARCH("NOT YET STARTED",I7)))</formula>
    </cfRule>
    <cfRule type="containsText" dxfId="703" priority="792" operator="containsText" text="IN PROGRESS">
      <formula>NOT(ISERROR(SEARCH("IN PROGRESS",I7)))</formula>
    </cfRule>
    <cfRule type="containsText" dxfId="702" priority="793" operator="containsText" text="HOLD">
      <formula>NOT(ISERROR(SEARCH("HOLD",I7)))</formula>
    </cfRule>
    <cfRule type="containsText" dxfId="701" priority="794" operator="containsText" text="COMPLETED">
      <formula>NOT(ISERROR(SEARCH("COMPLETED",I7)))</formula>
    </cfRule>
    <cfRule type="containsText" dxfId="700" priority="795" operator="containsText" text="NOT YET STARTED">
      <formula>NOT(ISERROR(SEARCH("NOT YET STARTED",I7)))</formula>
    </cfRule>
    <cfRule type="containsText" dxfId="699" priority="796" operator="containsText" text="IN PROGRESS">
      <formula>NOT(ISERROR(SEARCH("IN PROGRESS",I7)))</formula>
    </cfRule>
    <cfRule type="containsText" dxfId="698" priority="797" operator="containsText" text="HOLD">
      <formula>NOT(ISERROR(SEARCH("HOLD",I7)))</formula>
    </cfRule>
    <cfRule type="containsText" dxfId="697" priority="798" operator="containsText" text="COMPLETED">
      <formula>NOT(ISERROR(SEARCH("COMPLETED",I7)))</formula>
    </cfRule>
    <cfRule type="containsText" dxfId="696" priority="799" operator="containsText" text="NOT YET STARTED">
      <formula>NOT(ISERROR(SEARCH("NOT YET STARTED",I7)))</formula>
    </cfRule>
    <cfRule type="containsText" dxfId="695" priority="800" operator="containsText" text="IN PROGRESS">
      <formula>NOT(ISERROR(SEARCH("IN PROGRESS",I7)))</formula>
    </cfRule>
    <cfRule type="containsText" dxfId="694" priority="801" operator="containsText" text="COMPLETED">
      <formula>NOT(ISERROR(SEARCH("COMPLETED",I7)))</formula>
    </cfRule>
    <cfRule type="containsText" dxfId="693" priority="802" operator="containsText" text="NOT YET STARTED">
      <formula>NOT(ISERROR(SEARCH("NOT YET STARTED",I7)))</formula>
    </cfRule>
    <cfRule type="containsText" dxfId="692" priority="803" operator="containsText" text="IN PROGRESS">
      <formula>NOT(ISERROR(SEARCH("IN PROGRESS",I7)))</formula>
    </cfRule>
    <cfRule type="containsText" dxfId="691" priority="804" operator="containsText" text="HOLD">
      <formula>NOT(ISERROR(SEARCH("HOLD",I7)))</formula>
    </cfRule>
    <cfRule type="containsText" dxfId="690" priority="805" operator="containsText" text="COMPLETED">
      <formula>NOT(ISERROR(SEARCH("COMPLETED",I7)))</formula>
    </cfRule>
    <cfRule type="containsText" dxfId="689" priority="806" operator="containsText" text="NOT YET STARTED">
      <formula>NOT(ISERROR(SEARCH("NOT YET STARTED",I7)))</formula>
    </cfRule>
    <cfRule type="containsText" dxfId="688" priority="807" operator="containsText" text="IN PROGRESS">
      <formula>NOT(ISERROR(SEARCH("IN PROGRESS",I7)))</formula>
    </cfRule>
    <cfRule type="containsText" dxfId="687" priority="808" operator="containsText" text="HOLD">
      <formula>NOT(ISERROR(SEARCH("HOLD",I7)))</formula>
    </cfRule>
    <cfRule type="containsText" dxfId="686" priority="809" operator="containsText" text="COMPLETED">
      <formula>NOT(ISERROR(SEARCH("COMPLETED",I7)))</formula>
    </cfRule>
    <cfRule type="containsText" dxfId="685" priority="810" operator="containsText" text="NOT YET STARTED">
      <formula>NOT(ISERROR(SEARCH("NOT YET STARTED",I7)))</formula>
    </cfRule>
    <cfRule type="containsText" dxfId="684" priority="811" operator="containsText" text="IN PROGRESS">
      <formula>NOT(ISERROR(SEARCH("IN PROGRESS",I7)))</formula>
    </cfRule>
    <cfRule type="containsText" dxfId="683" priority="812" operator="containsText" text="HOLD">
      <formula>NOT(ISERROR(SEARCH("HOLD",I7)))</formula>
    </cfRule>
    <cfRule type="containsText" dxfId="682" priority="813" operator="containsText" text="COMPLETED">
      <formula>NOT(ISERROR(SEARCH("COMPLETED",I7)))</formula>
    </cfRule>
    <cfRule type="containsText" dxfId="681" priority="814" operator="containsText" text="NOT YET STARTED">
      <formula>NOT(ISERROR(SEARCH("NOT YET STARTED",I7)))</formula>
    </cfRule>
    <cfRule type="containsText" dxfId="680" priority="815" operator="containsText" text="IN PROGRESS">
      <formula>NOT(ISERROR(SEARCH("IN PROGRESS",I7)))</formula>
    </cfRule>
    <cfRule type="containsText" dxfId="679" priority="816" operator="containsText" text="HOLD">
      <formula>NOT(ISERROR(SEARCH("HOLD",I7)))</formula>
    </cfRule>
    <cfRule type="containsText" dxfId="678" priority="817" operator="containsText" text="COMPLETED">
      <formula>NOT(ISERROR(SEARCH("COMPLETED",I7)))</formula>
    </cfRule>
    <cfRule type="containsText" dxfId="677" priority="818" operator="containsText" text="NOT YET STARTED">
      <formula>NOT(ISERROR(SEARCH("NOT YET STARTED",I7)))</formula>
    </cfRule>
    <cfRule type="containsText" dxfId="676" priority="819" operator="containsText" text="IN PROGRESS">
      <formula>NOT(ISERROR(SEARCH("IN PROGRESS",I7)))</formula>
    </cfRule>
    <cfRule type="containsText" dxfId="675" priority="820" operator="containsText" text="HOLD">
      <formula>NOT(ISERROR(SEARCH("HOLD",I7)))</formula>
    </cfRule>
    <cfRule type="containsText" dxfId="674" priority="821" operator="containsText" text="COMPLETED">
      <formula>NOT(ISERROR(SEARCH("COMPLETED",I7)))</formula>
    </cfRule>
    <cfRule type="containsText" dxfId="673" priority="822" operator="containsText" text="NOT YET STARTED">
      <formula>NOT(ISERROR(SEARCH("NOT YET STARTED",I7)))</formula>
    </cfRule>
    <cfRule type="containsText" dxfId="672" priority="823" operator="containsText" text="IN PROGRESS">
      <formula>NOT(ISERROR(SEARCH("IN PROGRESS",I7)))</formula>
    </cfRule>
    <cfRule type="containsText" dxfId="671" priority="824" operator="containsText" text="HOLD">
      <formula>NOT(ISERROR(SEARCH("HOLD",I7)))</formula>
    </cfRule>
    <cfRule type="containsText" dxfId="670" priority="825" operator="containsText" text="COMPLETED">
      <formula>NOT(ISERROR(SEARCH("COMPLETED",I7)))</formula>
    </cfRule>
    <cfRule type="containsText" dxfId="669" priority="826" operator="containsText" text="NOT YET STARTED">
      <formula>NOT(ISERROR(SEARCH("NOT YET STARTED",I7)))</formula>
    </cfRule>
    <cfRule type="containsText" dxfId="668" priority="827" operator="containsText" text="IN PROGRESS">
      <formula>NOT(ISERROR(SEARCH("IN PROGRESS",I7)))</formula>
    </cfRule>
    <cfRule type="containsText" dxfId="667" priority="828" operator="containsText" text="HOLD">
      <formula>NOT(ISERROR(SEARCH("HOLD",I7)))</formula>
    </cfRule>
    <cfRule type="containsText" dxfId="666" priority="829" operator="containsText" text="COMPLETED">
      <formula>NOT(ISERROR(SEARCH("COMPLETED",I7)))</formula>
    </cfRule>
    <cfRule type="containsText" dxfId="665" priority="830" operator="containsText" text="NOT YET STARTED">
      <formula>NOT(ISERROR(SEARCH("NOT YET STARTED",I7)))</formula>
    </cfRule>
    <cfRule type="containsText" dxfId="664" priority="831" operator="containsText" text="IN PROGRESS">
      <formula>NOT(ISERROR(SEARCH("IN PROGRESS",I7)))</formula>
    </cfRule>
  </conditionalFormatting>
  <conditionalFormatting sqref="I7:I8">
    <cfRule type="containsText" dxfId="663" priority="832" operator="containsText" text="HOLD">
      <formula>NOT(ISERROR(SEARCH("HOLD",I7)))</formula>
    </cfRule>
    <cfRule type="containsText" dxfId="662" priority="833" operator="containsText" text="COMPLETED">
      <formula>NOT(ISERROR(SEARCH("COMPLETED",I7)))</formula>
    </cfRule>
    <cfRule type="containsText" dxfId="661" priority="834" operator="containsText" text="NOT YET STARTED">
      <formula>NOT(ISERROR(SEARCH("NOT YET STARTED",I7)))</formula>
    </cfRule>
    <cfRule type="containsText" dxfId="660" priority="835" operator="containsText" text="IN PROGRESS">
      <formula>NOT(ISERROR(SEARCH("IN PROGRESS",I7)))</formula>
    </cfRule>
  </conditionalFormatting>
  <conditionalFormatting sqref="I9">
    <cfRule type="containsText" dxfId="659" priority="502" operator="containsText" text="HOLD">
      <formula>NOT(ISERROR(SEARCH("HOLD",I9)))</formula>
    </cfRule>
    <cfRule type="containsText" dxfId="658" priority="503" operator="containsText" text="COMPLETED">
      <formula>NOT(ISERROR(SEARCH("COMPLETED",I9)))</formula>
    </cfRule>
    <cfRule type="containsText" dxfId="657" priority="504" operator="containsText" text="NOT YET STARTED">
      <formula>NOT(ISERROR(SEARCH("NOT YET STARTED",I9)))</formula>
    </cfRule>
    <cfRule type="containsText" dxfId="656" priority="505" operator="containsText" text="IN PROGRESS">
      <formula>NOT(ISERROR(SEARCH("IN PROGRESS",I9)))</formula>
    </cfRule>
    <cfRule type="containsText" dxfId="655" priority="506" operator="containsText" text="HOLD">
      <formula>NOT(ISERROR(SEARCH("HOLD",I9)))</formula>
    </cfRule>
    <cfRule type="containsText" dxfId="654" priority="507" operator="containsText" text="COMPLETED">
      <formula>NOT(ISERROR(SEARCH("COMPLETED",I9)))</formula>
    </cfRule>
    <cfRule type="containsText" dxfId="653" priority="508" operator="containsText" text="NOT YET STARTED">
      <formula>NOT(ISERROR(SEARCH("NOT YET STARTED",I9)))</formula>
    </cfRule>
    <cfRule type="containsText" dxfId="652" priority="509" operator="containsText" text="IN PROGRESS">
      <formula>NOT(ISERROR(SEARCH("IN PROGRESS",I9)))</formula>
    </cfRule>
    <cfRule type="containsText" dxfId="651" priority="510" operator="containsText" text="HOLD">
      <formula>NOT(ISERROR(SEARCH("HOLD",I9)))</formula>
    </cfRule>
    <cfRule type="containsText" dxfId="650" priority="511" operator="containsText" text="COMPLETED">
      <formula>NOT(ISERROR(SEARCH("COMPLETED",I9)))</formula>
    </cfRule>
    <cfRule type="containsText" dxfId="649" priority="512" operator="containsText" text="NOT YET STARTED">
      <formula>NOT(ISERROR(SEARCH("NOT YET STARTED",I9)))</formula>
    </cfRule>
    <cfRule type="containsText" dxfId="648" priority="513" operator="containsText" text="IN PROGRESS">
      <formula>NOT(ISERROR(SEARCH("IN PROGRESS",I9)))</formula>
    </cfRule>
    <cfRule type="containsText" dxfId="647" priority="514" operator="containsText" text="HOLD">
      <formula>NOT(ISERROR(SEARCH("HOLD",I9)))</formula>
    </cfRule>
    <cfRule type="containsText" dxfId="646" priority="515" operator="containsText" text="COMPLETED">
      <formula>NOT(ISERROR(SEARCH("COMPLETED",I9)))</formula>
    </cfRule>
    <cfRule type="containsText" dxfId="645" priority="516" operator="containsText" text="NOT YET STARTED">
      <formula>NOT(ISERROR(SEARCH("NOT YET STARTED",I9)))</formula>
    </cfRule>
    <cfRule type="containsText" dxfId="644" priority="517" operator="containsText" text="IN PROGRESS">
      <formula>NOT(ISERROR(SEARCH("IN PROGRESS",I9)))</formula>
    </cfRule>
    <cfRule type="containsText" dxfId="643" priority="518" operator="containsText" text="HOLD">
      <formula>NOT(ISERROR(SEARCH("HOLD",I9)))</formula>
    </cfRule>
    <cfRule type="containsText" dxfId="642" priority="519" operator="containsText" text="COMPLETED">
      <formula>NOT(ISERROR(SEARCH("COMPLETED",I9)))</formula>
    </cfRule>
    <cfRule type="containsText" dxfId="641" priority="520" operator="containsText" text="NOT YET STARTED">
      <formula>NOT(ISERROR(SEARCH("NOT YET STARTED",I9)))</formula>
    </cfRule>
    <cfRule type="containsText" dxfId="640" priority="521" operator="containsText" text="IN PROGRESS">
      <formula>NOT(ISERROR(SEARCH("IN PROGRESS",I9)))</formula>
    </cfRule>
    <cfRule type="containsText" dxfId="639" priority="522" operator="containsText" text="HOLD">
      <formula>NOT(ISERROR(SEARCH("HOLD",I9)))</formula>
    </cfRule>
    <cfRule type="containsText" dxfId="638" priority="523" operator="containsText" text="COMPLETED">
      <formula>NOT(ISERROR(SEARCH("COMPLETED",I9)))</formula>
    </cfRule>
    <cfRule type="containsText" dxfId="637" priority="524" operator="containsText" text="NOT YET STARTED">
      <formula>NOT(ISERROR(SEARCH("NOT YET STARTED",I9)))</formula>
    </cfRule>
    <cfRule type="containsText" dxfId="636" priority="525" operator="containsText" text="IN PROGRESS">
      <formula>NOT(ISERROR(SEARCH("IN PROGRESS",I9)))</formula>
    </cfRule>
    <cfRule type="containsText" dxfId="635" priority="526" operator="containsText" text="HOLD">
      <formula>NOT(ISERROR(SEARCH("HOLD",I9)))</formula>
    </cfRule>
    <cfRule type="containsText" dxfId="634" priority="527" operator="containsText" text="COMPLETED">
      <formula>NOT(ISERROR(SEARCH("COMPLETED",I9)))</formula>
    </cfRule>
    <cfRule type="containsText" dxfId="633" priority="528" operator="containsText" text="NOT YET STARTED">
      <formula>NOT(ISERROR(SEARCH("NOT YET STARTED",I9)))</formula>
    </cfRule>
    <cfRule type="containsText" dxfId="632" priority="529" operator="containsText" text="IN PROGRESS">
      <formula>NOT(ISERROR(SEARCH("IN PROGRESS",I9)))</formula>
    </cfRule>
    <cfRule type="containsText" dxfId="631" priority="530" operator="containsText" text="HOLD">
      <formula>NOT(ISERROR(SEARCH("HOLD",I9)))</formula>
    </cfRule>
    <cfRule type="containsText" dxfId="630" priority="531" operator="containsText" text="COMPLETED">
      <formula>NOT(ISERROR(SEARCH("COMPLETED",I9)))</formula>
    </cfRule>
    <cfRule type="containsText" dxfId="629" priority="532" operator="containsText" text="NOT YET STARTED">
      <formula>NOT(ISERROR(SEARCH("NOT YET STARTED",I9)))</formula>
    </cfRule>
    <cfRule type="containsText" dxfId="628" priority="533" operator="containsText" text="IN PROGRESS">
      <formula>NOT(ISERROR(SEARCH("IN PROGRESS",I9)))</formula>
    </cfRule>
    <cfRule type="containsText" dxfId="627" priority="534" operator="containsText" text="HOLD">
      <formula>NOT(ISERROR(SEARCH("HOLD",I9)))</formula>
    </cfRule>
    <cfRule type="containsText" dxfId="626" priority="535" operator="containsText" text="COMPLETED">
      <formula>NOT(ISERROR(SEARCH("COMPLETED",I9)))</formula>
    </cfRule>
    <cfRule type="containsText" dxfId="625" priority="536" operator="containsText" text="NOT YET STARTED">
      <formula>NOT(ISERROR(SEARCH("NOT YET STARTED",I9)))</formula>
    </cfRule>
    <cfRule type="containsText" dxfId="624" priority="537" operator="containsText" text="IN PROGRESS">
      <formula>NOT(ISERROR(SEARCH("IN PROGRESS",I9)))</formula>
    </cfRule>
    <cfRule type="containsText" dxfId="623" priority="538" operator="containsText" text="HOLD">
      <formula>NOT(ISERROR(SEARCH("HOLD",I9)))</formula>
    </cfRule>
    <cfRule type="containsText" dxfId="622" priority="539" operator="containsText" text="COMPLETED">
      <formula>NOT(ISERROR(SEARCH("COMPLETED",I9)))</formula>
    </cfRule>
    <cfRule type="containsText" dxfId="621" priority="540" operator="containsText" text="NOT YET STARTED">
      <formula>NOT(ISERROR(SEARCH("NOT YET STARTED",I9)))</formula>
    </cfRule>
    <cfRule type="containsText" dxfId="620" priority="541" operator="containsText" text="IN PROGRESS">
      <formula>NOT(ISERROR(SEARCH("IN PROGRESS",I9)))</formula>
    </cfRule>
    <cfRule type="containsText" dxfId="619" priority="542" operator="containsText" text="HOLD">
      <formula>NOT(ISERROR(SEARCH("HOLD",I9)))</formula>
    </cfRule>
    <cfRule type="containsText" dxfId="618" priority="543" operator="containsText" text="COMPLETED">
      <formula>NOT(ISERROR(SEARCH("COMPLETED",I9)))</formula>
    </cfRule>
    <cfRule type="containsText" dxfId="617" priority="544" operator="containsText" text="NOT YET STARTED">
      <formula>NOT(ISERROR(SEARCH("NOT YET STARTED",I9)))</formula>
    </cfRule>
    <cfRule type="containsText" dxfId="616" priority="545" operator="containsText" text="IN PROGRESS">
      <formula>NOT(ISERROR(SEARCH("IN PROGRESS",I9)))</formula>
    </cfRule>
    <cfRule type="containsText" dxfId="615" priority="546" operator="containsText" text="HOLD">
      <formula>NOT(ISERROR(SEARCH("HOLD",I9)))</formula>
    </cfRule>
    <cfRule type="containsText" dxfId="614" priority="547" operator="containsText" text="COMPLETED">
      <formula>NOT(ISERROR(SEARCH("COMPLETED",I9)))</formula>
    </cfRule>
    <cfRule type="containsText" dxfId="613" priority="548" operator="containsText" text="NOT YET STARTED">
      <formula>NOT(ISERROR(SEARCH("NOT YET STARTED",I9)))</formula>
    </cfRule>
    <cfRule type="containsText" dxfId="612" priority="549" operator="containsText" text="IN PROGRESS">
      <formula>NOT(ISERROR(SEARCH("IN PROGRESS",I9)))</formula>
    </cfRule>
    <cfRule type="containsText" dxfId="611" priority="550" operator="containsText" text="HOLD">
      <formula>NOT(ISERROR(SEARCH("HOLD",I9)))</formula>
    </cfRule>
    <cfRule type="containsText" dxfId="610" priority="551" operator="containsText" text="COMPLETED">
      <formula>NOT(ISERROR(SEARCH("COMPLETED",I9)))</formula>
    </cfRule>
    <cfRule type="containsText" dxfId="609" priority="552" operator="containsText" text="NOT YET STARTED">
      <formula>NOT(ISERROR(SEARCH("NOT YET STARTED",I9)))</formula>
    </cfRule>
    <cfRule type="containsText" dxfId="608" priority="553" operator="containsText" text="IN PROGRESS">
      <formula>NOT(ISERROR(SEARCH("IN PROGRESS",I9)))</formula>
    </cfRule>
    <cfRule type="containsText" dxfId="607" priority="554" operator="containsText" text="HOLD">
      <formula>NOT(ISERROR(SEARCH("HOLD",I9)))</formula>
    </cfRule>
    <cfRule type="containsText" dxfId="606" priority="555" operator="containsText" text="COMPLETED">
      <formula>NOT(ISERROR(SEARCH("COMPLETED",I9)))</formula>
    </cfRule>
    <cfRule type="containsText" dxfId="605" priority="556" operator="containsText" text="NOT YET STARTED">
      <formula>NOT(ISERROR(SEARCH("NOT YET STARTED",I9)))</formula>
    </cfRule>
    <cfRule type="containsText" dxfId="604" priority="557" operator="containsText" text="IN PROGRESS">
      <formula>NOT(ISERROR(SEARCH("IN PROGRESS",I9)))</formula>
    </cfRule>
    <cfRule type="containsText" dxfId="603" priority="558" operator="containsText" text="HOLD">
      <formula>NOT(ISERROR(SEARCH("HOLD",I9)))</formula>
    </cfRule>
    <cfRule type="containsText" dxfId="602" priority="559" operator="containsText" text="COMPLETED">
      <formula>NOT(ISERROR(SEARCH("COMPLETED",I9)))</formula>
    </cfRule>
    <cfRule type="containsText" dxfId="601" priority="560" operator="containsText" text="NOT YET STARTED">
      <formula>NOT(ISERROR(SEARCH("NOT YET STARTED",I9)))</formula>
    </cfRule>
    <cfRule type="containsText" dxfId="600" priority="561" operator="containsText" text="IN PROGRESS">
      <formula>NOT(ISERROR(SEARCH("IN PROGRESS",I9)))</formula>
    </cfRule>
    <cfRule type="containsText" dxfId="599" priority="562" operator="containsText" text="HOLD">
      <formula>NOT(ISERROR(SEARCH("HOLD",I9)))</formula>
    </cfRule>
    <cfRule type="containsText" dxfId="598" priority="563" operator="containsText" text="COMPLETED">
      <formula>NOT(ISERROR(SEARCH("COMPLETED",I9)))</formula>
    </cfRule>
    <cfRule type="containsText" dxfId="597" priority="564" operator="containsText" text="NOT YET STARTED">
      <formula>NOT(ISERROR(SEARCH("NOT YET STARTED",I9)))</formula>
    </cfRule>
    <cfRule type="containsText" dxfId="596" priority="565" operator="containsText" text="IN PROGRESS">
      <formula>NOT(ISERROR(SEARCH("IN PROGRESS",I9)))</formula>
    </cfRule>
    <cfRule type="containsText" dxfId="595" priority="566" operator="containsText" text="HOLD">
      <formula>NOT(ISERROR(SEARCH("HOLD",I9)))</formula>
    </cfRule>
    <cfRule type="containsText" dxfId="594" priority="567" operator="containsText" text="COMPLETED">
      <formula>NOT(ISERROR(SEARCH("COMPLETED",I9)))</formula>
    </cfRule>
    <cfRule type="containsText" dxfId="593" priority="568" operator="containsText" text="NOT YET STARTED">
      <formula>NOT(ISERROR(SEARCH("NOT YET STARTED",I9)))</formula>
    </cfRule>
    <cfRule type="containsText" dxfId="592" priority="569" operator="containsText" text="IN PROGRESS">
      <formula>NOT(ISERROR(SEARCH("IN PROGRESS",I9)))</formula>
    </cfRule>
    <cfRule type="containsText" dxfId="591" priority="570" operator="containsText" text="HOLD">
      <formula>NOT(ISERROR(SEARCH("HOLD",I9)))</formula>
    </cfRule>
    <cfRule type="containsText" dxfId="590" priority="571" operator="containsText" text="COMPLETED">
      <formula>NOT(ISERROR(SEARCH("COMPLETED",I9)))</formula>
    </cfRule>
    <cfRule type="containsText" dxfId="589" priority="572" operator="containsText" text="NOT YET STARTED">
      <formula>NOT(ISERROR(SEARCH("NOT YET STARTED",I9)))</formula>
    </cfRule>
    <cfRule type="containsText" dxfId="588" priority="573" operator="containsText" text="IN PROGRESS">
      <formula>NOT(ISERROR(SEARCH("IN PROGRESS",I9)))</formula>
    </cfRule>
    <cfRule type="containsText" dxfId="587" priority="574" operator="containsText" text="HOLD">
      <formula>NOT(ISERROR(SEARCH("HOLD",I9)))</formula>
    </cfRule>
    <cfRule type="containsText" dxfId="586" priority="575" operator="containsText" text="COMPLETED">
      <formula>NOT(ISERROR(SEARCH("COMPLETED",I9)))</formula>
    </cfRule>
    <cfRule type="containsText" dxfId="585" priority="576" operator="containsText" text="NOT YET STARTED">
      <formula>NOT(ISERROR(SEARCH("NOT YET STARTED",I9)))</formula>
    </cfRule>
    <cfRule type="containsText" dxfId="584" priority="577" operator="containsText" text="IN PROGRESS">
      <formula>NOT(ISERROR(SEARCH("IN PROGRESS",I9)))</formula>
    </cfRule>
    <cfRule type="containsText" dxfId="583" priority="578" operator="containsText" text="HOLD">
      <formula>NOT(ISERROR(SEARCH("HOLD",I9)))</formula>
    </cfRule>
    <cfRule type="containsText" dxfId="582" priority="579" operator="containsText" text="COMPLETED">
      <formula>NOT(ISERROR(SEARCH("COMPLETED",I9)))</formula>
    </cfRule>
    <cfRule type="containsText" dxfId="581" priority="580" operator="containsText" text="NOT YET STARTED">
      <formula>NOT(ISERROR(SEARCH("NOT YET STARTED",I9)))</formula>
    </cfRule>
    <cfRule type="containsText" dxfId="580" priority="581" operator="containsText" text="IN PROGRESS">
      <formula>NOT(ISERROR(SEARCH("IN PROGRESS",I9)))</formula>
    </cfRule>
    <cfRule type="containsText" dxfId="579" priority="582" operator="containsText" text="HOLD">
      <formula>NOT(ISERROR(SEARCH("HOLD",I9)))</formula>
    </cfRule>
    <cfRule type="containsText" dxfId="578" priority="583" operator="containsText" text="COMPLETED">
      <formula>NOT(ISERROR(SEARCH("COMPLETED",I9)))</formula>
    </cfRule>
    <cfRule type="containsText" dxfId="577" priority="584" operator="containsText" text="NOT YET STARTED">
      <formula>NOT(ISERROR(SEARCH("NOT YET STARTED",I9)))</formula>
    </cfRule>
    <cfRule type="containsText" dxfId="576" priority="585" operator="containsText" text="IN PROGRESS">
      <formula>NOT(ISERROR(SEARCH("IN PROGRESS",I9)))</formula>
    </cfRule>
    <cfRule type="containsText" dxfId="575" priority="586" operator="containsText" text="HOLD">
      <formula>NOT(ISERROR(SEARCH("HOLD",I9)))</formula>
    </cfRule>
    <cfRule type="containsText" dxfId="574" priority="587" operator="containsText" text="COMPLETED">
      <formula>NOT(ISERROR(SEARCH("COMPLETED",I9)))</formula>
    </cfRule>
    <cfRule type="containsText" dxfId="573" priority="588" operator="containsText" text="NOT YET STARTED">
      <formula>NOT(ISERROR(SEARCH("NOT YET STARTED",I9)))</formula>
    </cfRule>
    <cfRule type="containsText" dxfId="572" priority="589" operator="containsText" text="IN PROGRESS">
      <formula>NOT(ISERROR(SEARCH("IN PROGRESS",I9)))</formula>
    </cfRule>
    <cfRule type="containsText" dxfId="571" priority="590" operator="containsText" text="HOLD">
      <formula>NOT(ISERROR(SEARCH("HOLD",I9)))</formula>
    </cfRule>
    <cfRule type="containsText" dxfId="570" priority="591" operator="containsText" text="COMPLETED">
      <formula>NOT(ISERROR(SEARCH("COMPLETED",I9)))</formula>
    </cfRule>
    <cfRule type="containsText" dxfId="569" priority="592" operator="containsText" text="NOT YET STARTED">
      <formula>NOT(ISERROR(SEARCH("NOT YET STARTED",I9)))</formula>
    </cfRule>
    <cfRule type="containsText" dxfId="568" priority="593" operator="containsText" text="IN PROGRESS">
      <formula>NOT(ISERROR(SEARCH("IN PROGRESS",I9)))</formula>
    </cfRule>
    <cfRule type="containsText" dxfId="567" priority="594" operator="containsText" text="HOLD">
      <formula>NOT(ISERROR(SEARCH("HOLD",I9)))</formula>
    </cfRule>
    <cfRule type="containsText" dxfId="566" priority="595" operator="containsText" text="COMPLETED">
      <formula>NOT(ISERROR(SEARCH("COMPLETED",I9)))</formula>
    </cfRule>
    <cfRule type="containsText" dxfId="565" priority="596" operator="containsText" text="NOT YET STARTED">
      <formula>NOT(ISERROR(SEARCH("NOT YET STARTED",I9)))</formula>
    </cfRule>
    <cfRule type="containsText" dxfId="564" priority="597" operator="containsText" text="IN PROGRESS">
      <formula>NOT(ISERROR(SEARCH("IN PROGRESS",I9)))</formula>
    </cfRule>
    <cfRule type="containsText" dxfId="563" priority="598" operator="containsText" text="HOLD">
      <formula>NOT(ISERROR(SEARCH("HOLD",I9)))</formula>
    </cfRule>
    <cfRule type="containsText" dxfId="562" priority="599" operator="containsText" text="COMPLETED">
      <formula>NOT(ISERROR(SEARCH("COMPLETED",I9)))</formula>
    </cfRule>
    <cfRule type="containsText" dxfId="561" priority="600" operator="containsText" text="NOT YET STARTED">
      <formula>NOT(ISERROR(SEARCH("NOT YET STARTED",I9)))</formula>
    </cfRule>
    <cfRule type="containsText" dxfId="560" priority="601" operator="containsText" text="IN PROGRESS">
      <formula>NOT(ISERROR(SEARCH("IN PROGRESS",I9)))</formula>
    </cfRule>
    <cfRule type="containsText" dxfId="559" priority="602" operator="containsText" text="HOLD">
      <formula>NOT(ISERROR(SEARCH("HOLD",I9)))</formula>
    </cfRule>
    <cfRule type="containsText" dxfId="558" priority="603" operator="containsText" text="COMPLETED">
      <formula>NOT(ISERROR(SEARCH("COMPLETED",I9)))</formula>
    </cfRule>
    <cfRule type="containsText" dxfId="557" priority="604" operator="containsText" text="NOT YET STARTED">
      <formula>NOT(ISERROR(SEARCH("NOT YET STARTED",I9)))</formula>
    </cfRule>
    <cfRule type="containsText" dxfId="556" priority="605" operator="containsText" text="IN PROGRESS">
      <formula>NOT(ISERROR(SEARCH("IN PROGRESS",I9)))</formula>
    </cfRule>
    <cfRule type="containsText" dxfId="555" priority="606" operator="containsText" text="HOLD">
      <formula>NOT(ISERROR(SEARCH("HOLD",I9)))</formula>
    </cfRule>
    <cfRule type="containsText" dxfId="554" priority="607" operator="containsText" text="COMPLETED">
      <formula>NOT(ISERROR(SEARCH("COMPLETED",I9)))</formula>
    </cfRule>
    <cfRule type="containsText" dxfId="553" priority="608" operator="containsText" text="NOT YET STARTED">
      <formula>NOT(ISERROR(SEARCH("NOT YET STARTED",I9)))</formula>
    </cfRule>
    <cfRule type="containsText" dxfId="552" priority="609" operator="containsText" text="IN PROGRESS">
      <formula>NOT(ISERROR(SEARCH("IN PROGRESS",I9)))</formula>
    </cfRule>
    <cfRule type="containsText" dxfId="551" priority="610" operator="containsText" text="HOLD">
      <formula>NOT(ISERROR(SEARCH("HOLD",I9)))</formula>
    </cfRule>
    <cfRule type="containsText" dxfId="550" priority="611" operator="containsText" text="COMPLETED">
      <formula>NOT(ISERROR(SEARCH("COMPLETED",I9)))</formula>
    </cfRule>
    <cfRule type="containsText" dxfId="549" priority="612" operator="containsText" text="NOT YET STARTED">
      <formula>NOT(ISERROR(SEARCH("NOT YET STARTED",I9)))</formula>
    </cfRule>
    <cfRule type="containsText" dxfId="548" priority="613" operator="containsText" text="IN PROGRESS">
      <formula>NOT(ISERROR(SEARCH("IN PROGRESS",I9)))</formula>
    </cfRule>
    <cfRule type="containsText" dxfId="547" priority="614" operator="containsText" text="HOLD">
      <formula>NOT(ISERROR(SEARCH("HOLD",I9)))</formula>
    </cfRule>
    <cfRule type="containsText" dxfId="546" priority="615" operator="containsText" text="COMPLETED">
      <formula>NOT(ISERROR(SEARCH("COMPLETED",I9)))</formula>
    </cfRule>
    <cfRule type="containsText" dxfId="545" priority="616" operator="containsText" text="NOT YET STARTED">
      <formula>NOT(ISERROR(SEARCH("NOT YET STARTED",I9)))</formula>
    </cfRule>
    <cfRule type="containsText" dxfId="544" priority="617" operator="containsText" text="IN PROGRESS">
      <formula>NOT(ISERROR(SEARCH("IN PROGRESS",I9)))</formula>
    </cfRule>
    <cfRule type="containsText" dxfId="543" priority="618" operator="containsText" text="HOLD">
      <formula>NOT(ISERROR(SEARCH("HOLD",I9)))</formula>
    </cfRule>
    <cfRule type="containsText" dxfId="542" priority="619" operator="containsText" text="COMPLETED">
      <formula>NOT(ISERROR(SEARCH("COMPLETED",I9)))</formula>
    </cfRule>
    <cfRule type="containsText" dxfId="541" priority="620" operator="containsText" text="NOT YET STARTED">
      <formula>NOT(ISERROR(SEARCH("NOT YET STARTED",I9)))</formula>
    </cfRule>
    <cfRule type="containsText" dxfId="540" priority="621" operator="containsText" text="IN PROGRESS">
      <formula>NOT(ISERROR(SEARCH("IN PROGRESS",I9)))</formula>
    </cfRule>
    <cfRule type="containsText" dxfId="539" priority="622" operator="containsText" text="HOLD">
      <formula>NOT(ISERROR(SEARCH("HOLD",I9)))</formula>
    </cfRule>
    <cfRule type="containsText" dxfId="538" priority="623" operator="containsText" text="COMPLETED">
      <formula>NOT(ISERROR(SEARCH("COMPLETED",I9)))</formula>
    </cfRule>
    <cfRule type="containsText" dxfId="537" priority="624" operator="containsText" text="NOT YET STARTED">
      <formula>NOT(ISERROR(SEARCH("NOT YET STARTED",I9)))</formula>
    </cfRule>
    <cfRule type="containsText" dxfId="536" priority="625" operator="containsText" text="IN PROGRESS">
      <formula>NOT(ISERROR(SEARCH("IN PROGRESS",I9)))</formula>
    </cfRule>
    <cfRule type="containsText" dxfId="535" priority="626" operator="containsText" text="HOLD">
      <formula>NOT(ISERROR(SEARCH("HOLD",I9)))</formula>
    </cfRule>
    <cfRule type="containsText" dxfId="534" priority="627" operator="containsText" text="COMPLETED">
      <formula>NOT(ISERROR(SEARCH("COMPLETED",I9)))</formula>
    </cfRule>
    <cfRule type="containsText" dxfId="533" priority="628" operator="containsText" text="NOT YET STARTED">
      <formula>NOT(ISERROR(SEARCH("NOT YET STARTED",I9)))</formula>
    </cfRule>
    <cfRule type="containsText" dxfId="532" priority="629" operator="containsText" text="IN PROGRESS">
      <formula>NOT(ISERROR(SEARCH("IN PROGRESS",I9)))</formula>
    </cfRule>
    <cfRule type="containsText" dxfId="531" priority="630" operator="containsText" text="HOLD">
      <formula>NOT(ISERROR(SEARCH("HOLD",I9)))</formula>
    </cfRule>
    <cfRule type="containsText" dxfId="530" priority="631" operator="containsText" text="COMPLETED">
      <formula>NOT(ISERROR(SEARCH("COMPLETED",I9)))</formula>
    </cfRule>
    <cfRule type="containsText" dxfId="529" priority="632" operator="containsText" text="NOT YET STARTED">
      <formula>NOT(ISERROR(SEARCH("NOT YET STARTED",I9)))</formula>
    </cfRule>
    <cfRule type="containsText" dxfId="528" priority="633" operator="containsText" text="IN PROGRESS">
      <formula>NOT(ISERROR(SEARCH("IN PROGRESS",I9)))</formula>
    </cfRule>
    <cfRule type="containsText" dxfId="527" priority="634" operator="containsText" text="COMPLETED">
      <formula>NOT(ISERROR(SEARCH("COMPLETED",I9)))</formula>
    </cfRule>
    <cfRule type="containsText" dxfId="526" priority="635" operator="containsText" text="NOT YET STARTED">
      <formula>NOT(ISERROR(SEARCH("NOT YET STARTED",I9)))</formula>
    </cfRule>
    <cfRule type="containsText" dxfId="525" priority="636" operator="containsText" text="IN PROGRESS">
      <formula>NOT(ISERROR(SEARCH("IN PROGRESS",I9)))</formula>
    </cfRule>
    <cfRule type="containsText" dxfId="524" priority="637" operator="containsText" text="HOLD">
      <formula>NOT(ISERROR(SEARCH("HOLD",I9)))</formula>
    </cfRule>
    <cfRule type="containsText" dxfId="523" priority="638" operator="containsText" text="COMPLETED">
      <formula>NOT(ISERROR(SEARCH("COMPLETED",I9)))</formula>
    </cfRule>
    <cfRule type="containsText" dxfId="522" priority="639" operator="containsText" text="NOT YET STARTED">
      <formula>NOT(ISERROR(SEARCH("NOT YET STARTED",I9)))</formula>
    </cfRule>
    <cfRule type="containsText" dxfId="521" priority="640" operator="containsText" text="IN PROGRESS">
      <formula>NOT(ISERROR(SEARCH("IN PROGRESS",I9)))</formula>
    </cfRule>
    <cfRule type="containsText" dxfId="520" priority="641" operator="containsText" text="HOLD">
      <formula>NOT(ISERROR(SEARCH("HOLD",I9)))</formula>
    </cfRule>
    <cfRule type="containsText" dxfId="519" priority="642" operator="containsText" text="COMPLETED">
      <formula>NOT(ISERROR(SEARCH("COMPLETED",I9)))</formula>
    </cfRule>
    <cfRule type="containsText" dxfId="518" priority="643" operator="containsText" text="NOT YET STARTED">
      <formula>NOT(ISERROR(SEARCH("NOT YET STARTED",I9)))</formula>
    </cfRule>
    <cfRule type="containsText" dxfId="517" priority="644" operator="containsText" text="IN PROGRESS">
      <formula>NOT(ISERROR(SEARCH("IN PROGRESS",I9)))</formula>
    </cfRule>
    <cfRule type="containsText" dxfId="516" priority="645" operator="containsText" text="HOLD">
      <formula>NOT(ISERROR(SEARCH("HOLD",I9)))</formula>
    </cfRule>
    <cfRule type="containsText" dxfId="515" priority="646" operator="containsText" text="COMPLETED">
      <formula>NOT(ISERROR(SEARCH("COMPLETED",I9)))</formula>
    </cfRule>
    <cfRule type="containsText" dxfId="514" priority="647" operator="containsText" text="NOT YET STARTED">
      <formula>NOT(ISERROR(SEARCH("NOT YET STARTED",I9)))</formula>
    </cfRule>
    <cfRule type="containsText" dxfId="513" priority="648" operator="containsText" text="IN PROGRESS">
      <formula>NOT(ISERROR(SEARCH("IN PROGRESS",I9)))</formula>
    </cfRule>
    <cfRule type="containsText" dxfId="512" priority="649" operator="containsText" text="HOLD">
      <formula>NOT(ISERROR(SEARCH("HOLD",I9)))</formula>
    </cfRule>
    <cfRule type="containsText" dxfId="511" priority="650" operator="containsText" text="COMPLETED">
      <formula>NOT(ISERROR(SEARCH("COMPLETED",I9)))</formula>
    </cfRule>
    <cfRule type="containsText" dxfId="510" priority="651" operator="containsText" text="NOT YET STARTED">
      <formula>NOT(ISERROR(SEARCH("NOT YET STARTED",I9)))</formula>
    </cfRule>
    <cfRule type="containsText" dxfId="509" priority="652" operator="containsText" text="IN PROGRESS">
      <formula>NOT(ISERROR(SEARCH("IN PROGRESS",I9)))</formula>
    </cfRule>
    <cfRule type="containsText" dxfId="508" priority="653" operator="containsText" text="HOLD">
      <formula>NOT(ISERROR(SEARCH("HOLD",I9)))</formula>
    </cfRule>
    <cfRule type="containsText" dxfId="507" priority="654" operator="containsText" text="COMPLETED">
      <formula>NOT(ISERROR(SEARCH("COMPLETED",I9)))</formula>
    </cfRule>
    <cfRule type="containsText" dxfId="506" priority="655" operator="containsText" text="NOT YET STARTED">
      <formula>NOT(ISERROR(SEARCH("NOT YET STARTED",I9)))</formula>
    </cfRule>
    <cfRule type="containsText" dxfId="505" priority="656" operator="containsText" text="IN PROGRESS">
      <formula>NOT(ISERROR(SEARCH("IN PROGRESS",I9)))</formula>
    </cfRule>
    <cfRule type="containsText" dxfId="504" priority="657" operator="containsText" text="HOLD">
      <formula>NOT(ISERROR(SEARCH("HOLD",I9)))</formula>
    </cfRule>
    <cfRule type="containsText" dxfId="503" priority="658" operator="containsText" text="COMPLETED">
      <formula>NOT(ISERROR(SEARCH("COMPLETED",I9)))</formula>
    </cfRule>
    <cfRule type="containsText" dxfId="502" priority="659" operator="containsText" text="NOT YET STARTED">
      <formula>NOT(ISERROR(SEARCH("NOT YET STARTED",I9)))</formula>
    </cfRule>
    <cfRule type="containsText" dxfId="501" priority="660" operator="containsText" text="IN PROGRESS">
      <formula>NOT(ISERROR(SEARCH("IN PROGRESS",I9)))</formula>
    </cfRule>
    <cfRule type="containsText" dxfId="500" priority="661" operator="containsText" text="HOLD">
      <formula>NOT(ISERROR(SEARCH("HOLD",I9)))</formula>
    </cfRule>
    <cfRule type="containsText" dxfId="499" priority="662" operator="containsText" text="COMPLETED">
      <formula>NOT(ISERROR(SEARCH("COMPLETED",I9)))</formula>
    </cfRule>
    <cfRule type="containsText" dxfId="498" priority="663" operator="containsText" text="NOT YET STARTED">
      <formula>NOT(ISERROR(SEARCH("NOT YET STARTED",I9)))</formula>
    </cfRule>
    <cfRule type="containsText" dxfId="497" priority="664" operator="containsText" text="IN PROGRESS">
      <formula>NOT(ISERROR(SEARCH("IN PROGRESS",I9)))</formula>
    </cfRule>
  </conditionalFormatting>
  <conditionalFormatting sqref="I9:I10">
    <cfRule type="containsText" dxfId="496" priority="665" operator="containsText" text="HOLD">
      <formula>NOT(ISERROR(SEARCH("HOLD",I9)))</formula>
    </cfRule>
    <cfRule type="containsText" dxfId="495" priority="666" operator="containsText" text="COMPLETED">
      <formula>NOT(ISERROR(SEARCH("COMPLETED",I9)))</formula>
    </cfRule>
    <cfRule type="containsText" dxfId="494" priority="667" operator="containsText" text="NOT YET STARTED">
      <formula>NOT(ISERROR(SEARCH("NOT YET STARTED",I9)))</formula>
    </cfRule>
    <cfRule type="containsText" dxfId="493" priority="668" operator="containsText" text="IN PROGRESS">
      <formula>NOT(ISERROR(SEARCH("IN PROGRESS",I9)))</formula>
    </cfRule>
  </conditionalFormatting>
  <conditionalFormatting sqref="I11 I14:I22">
    <cfRule type="containsText" dxfId="492" priority="340" operator="containsText" text="COMPLETED">
      <formula>NOT(ISERROR(SEARCH("COMPLETED",I11)))</formula>
    </cfRule>
    <cfRule type="containsText" dxfId="491" priority="341" operator="containsText" text="NOT YET STARTED">
      <formula>NOT(ISERROR(SEARCH("NOT YET STARTED",I11)))</formula>
    </cfRule>
    <cfRule type="containsText" dxfId="490" priority="342" operator="containsText" text="IN PROGRESS">
      <formula>NOT(ISERROR(SEARCH("IN PROGRESS",I11)))</formula>
    </cfRule>
    <cfRule type="containsText" dxfId="489" priority="343" operator="containsText" text="HOLD">
      <formula>NOT(ISERROR(SEARCH("HOLD",I11)))</formula>
    </cfRule>
    <cfRule type="containsText" dxfId="488" priority="344" operator="containsText" text="COMPLETED">
      <formula>NOT(ISERROR(SEARCH("COMPLETED",I11)))</formula>
    </cfRule>
    <cfRule type="containsText" dxfId="487" priority="345" operator="containsText" text="NOT YET STARTED">
      <formula>NOT(ISERROR(SEARCH("NOT YET STARTED",I11)))</formula>
    </cfRule>
    <cfRule type="containsText" dxfId="486" priority="346" operator="containsText" text="IN PROGRESS">
      <formula>NOT(ISERROR(SEARCH("IN PROGRESS",I11)))</formula>
    </cfRule>
    <cfRule type="containsText" dxfId="485" priority="347" operator="containsText" text="HOLD">
      <formula>NOT(ISERROR(SEARCH("HOLD",I11)))</formula>
    </cfRule>
    <cfRule type="containsText" dxfId="484" priority="348" operator="containsText" text="COMPLETED">
      <formula>NOT(ISERROR(SEARCH("COMPLETED",I11)))</formula>
    </cfRule>
    <cfRule type="containsText" dxfId="483" priority="349" operator="containsText" text="NOT YET STARTED">
      <formula>NOT(ISERROR(SEARCH("NOT YET STARTED",I11)))</formula>
    </cfRule>
    <cfRule type="containsText" dxfId="482" priority="350" operator="containsText" text="IN PROGRESS">
      <formula>NOT(ISERROR(SEARCH("IN PROGRESS",I11)))</formula>
    </cfRule>
    <cfRule type="containsText" dxfId="481" priority="351" operator="containsText" text="HOLD">
      <formula>NOT(ISERROR(SEARCH("HOLD",I11)))</formula>
    </cfRule>
    <cfRule type="containsText" dxfId="480" priority="352" operator="containsText" text="COMPLETED">
      <formula>NOT(ISERROR(SEARCH("COMPLETED",I11)))</formula>
    </cfRule>
    <cfRule type="containsText" dxfId="479" priority="353" operator="containsText" text="NOT YET STARTED">
      <formula>NOT(ISERROR(SEARCH("NOT YET STARTED",I11)))</formula>
    </cfRule>
    <cfRule type="containsText" dxfId="478" priority="354" operator="containsText" text="IN PROGRESS">
      <formula>NOT(ISERROR(SEARCH("IN PROGRESS",I11)))</formula>
    </cfRule>
    <cfRule type="containsText" dxfId="477" priority="355" operator="containsText" text="HOLD">
      <formula>NOT(ISERROR(SEARCH("HOLD",I11)))</formula>
    </cfRule>
    <cfRule type="containsText" dxfId="476" priority="356" operator="containsText" text="COMPLETED">
      <formula>NOT(ISERROR(SEARCH("COMPLETED",I11)))</formula>
    </cfRule>
    <cfRule type="containsText" dxfId="475" priority="357" operator="containsText" text="NOT YET STARTED">
      <formula>NOT(ISERROR(SEARCH("NOT YET STARTED",I11)))</formula>
    </cfRule>
    <cfRule type="containsText" dxfId="474" priority="358" operator="containsText" text="IN PROGRESS">
      <formula>NOT(ISERROR(SEARCH("IN PROGRESS",I11)))</formula>
    </cfRule>
    <cfRule type="containsText" dxfId="473" priority="359" operator="containsText" text="HOLD">
      <formula>NOT(ISERROR(SEARCH("HOLD",I11)))</formula>
    </cfRule>
    <cfRule type="containsText" dxfId="472" priority="360" operator="containsText" text="COMPLETED">
      <formula>NOT(ISERROR(SEARCH("COMPLETED",I11)))</formula>
    </cfRule>
    <cfRule type="containsText" dxfId="471" priority="361" operator="containsText" text="NOT YET STARTED">
      <formula>NOT(ISERROR(SEARCH("NOT YET STARTED",I11)))</formula>
    </cfRule>
    <cfRule type="containsText" dxfId="470" priority="362" operator="containsText" text="IN PROGRESS">
      <formula>NOT(ISERROR(SEARCH("IN PROGRESS",I11)))</formula>
    </cfRule>
    <cfRule type="containsText" dxfId="469" priority="363" operator="containsText" text="HOLD">
      <formula>NOT(ISERROR(SEARCH("HOLD",I11)))</formula>
    </cfRule>
    <cfRule type="containsText" dxfId="468" priority="364" operator="containsText" text="COMPLETED">
      <formula>NOT(ISERROR(SEARCH("COMPLETED",I11)))</formula>
    </cfRule>
    <cfRule type="containsText" dxfId="467" priority="365" operator="containsText" text="NOT YET STARTED">
      <formula>NOT(ISERROR(SEARCH("NOT YET STARTED",I11)))</formula>
    </cfRule>
    <cfRule type="containsText" dxfId="466" priority="366" operator="containsText" text="IN PROGRESS">
      <formula>NOT(ISERROR(SEARCH("IN PROGRESS",I11)))</formula>
    </cfRule>
    <cfRule type="containsText" dxfId="465" priority="367" operator="containsText" text="HOLD">
      <formula>NOT(ISERROR(SEARCH("HOLD",I11)))</formula>
    </cfRule>
    <cfRule type="containsText" dxfId="464" priority="368" operator="containsText" text="COMPLETED">
      <formula>NOT(ISERROR(SEARCH("COMPLETED",I11)))</formula>
    </cfRule>
    <cfRule type="containsText" dxfId="463" priority="369" operator="containsText" text="NOT YET STARTED">
      <formula>NOT(ISERROR(SEARCH("NOT YET STARTED",I11)))</formula>
    </cfRule>
    <cfRule type="containsText" dxfId="462" priority="370" operator="containsText" text="IN PROGRESS">
      <formula>NOT(ISERROR(SEARCH("IN PROGRESS",I11)))</formula>
    </cfRule>
    <cfRule type="containsText" dxfId="461" priority="371" operator="containsText" text="HOLD">
      <formula>NOT(ISERROR(SEARCH("HOLD",I11)))</formula>
    </cfRule>
    <cfRule type="containsText" dxfId="460" priority="372" operator="containsText" text="COMPLETED">
      <formula>NOT(ISERROR(SEARCH("COMPLETED",I11)))</formula>
    </cfRule>
    <cfRule type="containsText" dxfId="459" priority="373" operator="containsText" text="NOT YET STARTED">
      <formula>NOT(ISERROR(SEARCH("NOT YET STARTED",I11)))</formula>
    </cfRule>
    <cfRule type="containsText" dxfId="458" priority="374" operator="containsText" text="IN PROGRESS">
      <formula>NOT(ISERROR(SEARCH("IN PROGRESS",I11)))</formula>
    </cfRule>
    <cfRule type="containsText" dxfId="457" priority="375" operator="containsText" text="HOLD">
      <formula>NOT(ISERROR(SEARCH("HOLD",I11)))</formula>
    </cfRule>
    <cfRule type="containsText" dxfId="456" priority="376" operator="containsText" text="COMPLETED">
      <formula>NOT(ISERROR(SEARCH("COMPLETED",I11)))</formula>
    </cfRule>
    <cfRule type="containsText" dxfId="455" priority="377" operator="containsText" text="NOT YET STARTED">
      <formula>NOT(ISERROR(SEARCH("NOT YET STARTED",I11)))</formula>
    </cfRule>
    <cfRule type="containsText" dxfId="454" priority="378" operator="containsText" text="IN PROGRESS">
      <formula>NOT(ISERROR(SEARCH("IN PROGRESS",I11)))</formula>
    </cfRule>
    <cfRule type="containsText" dxfId="453" priority="379" operator="containsText" text="HOLD">
      <formula>NOT(ISERROR(SEARCH("HOLD",I11)))</formula>
    </cfRule>
    <cfRule type="containsText" dxfId="452" priority="380" operator="containsText" text="COMPLETED">
      <formula>NOT(ISERROR(SEARCH("COMPLETED",I11)))</formula>
    </cfRule>
    <cfRule type="containsText" dxfId="451" priority="381" operator="containsText" text="NOT YET STARTED">
      <formula>NOT(ISERROR(SEARCH("NOT YET STARTED",I11)))</formula>
    </cfRule>
    <cfRule type="containsText" dxfId="450" priority="382" operator="containsText" text="IN PROGRESS">
      <formula>NOT(ISERROR(SEARCH("IN PROGRESS",I11)))</formula>
    </cfRule>
    <cfRule type="containsText" dxfId="449" priority="383" operator="containsText" text="HOLD">
      <formula>NOT(ISERROR(SEARCH("HOLD",I11)))</formula>
    </cfRule>
    <cfRule type="containsText" dxfId="448" priority="384" operator="containsText" text="COMPLETED">
      <formula>NOT(ISERROR(SEARCH("COMPLETED",I11)))</formula>
    </cfRule>
    <cfRule type="containsText" dxfId="447" priority="385" operator="containsText" text="NOT YET STARTED">
      <formula>NOT(ISERROR(SEARCH("NOT YET STARTED",I11)))</formula>
    </cfRule>
    <cfRule type="containsText" dxfId="446" priority="386" operator="containsText" text="IN PROGRESS">
      <formula>NOT(ISERROR(SEARCH("IN PROGRESS",I11)))</formula>
    </cfRule>
    <cfRule type="containsText" dxfId="445" priority="387" operator="containsText" text="HOLD">
      <formula>NOT(ISERROR(SEARCH("HOLD",I11)))</formula>
    </cfRule>
    <cfRule type="containsText" dxfId="444" priority="388" operator="containsText" text="COMPLETED">
      <formula>NOT(ISERROR(SEARCH("COMPLETED",I11)))</formula>
    </cfRule>
    <cfRule type="containsText" dxfId="443" priority="389" operator="containsText" text="NOT YET STARTED">
      <formula>NOT(ISERROR(SEARCH("NOT YET STARTED",I11)))</formula>
    </cfRule>
    <cfRule type="containsText" dxfId="442" priority="390" operator="containsText" text="IN PROGRESS">
      <formula>NOT(ISERROR(SEARCH("IN PROGRESS",I11)))</formula>
    </cfRule>
    <cfRule type="containsText" dxfId="441" priority="391" operator="containsText" text="HOLD">
      <formula>NOT(ISERROR(SEARCH("HOLD",I11)))</formula>
    </cfRule>
    <cfRule type="containsText" dxfId="440" priority="392" operator="containsText" text="COMPLETED">
      <formula>NOT(ISERROR(SEARCH("COMPLETED",I11)))</formula>
    </cfRule>
    <cfRule type="containsText" dxfId="439" priority="393" operator="containsText" text="NOT YET STARTED">
      <formula>NOT(ISERROR(SEARCH("NOT YET STARTED",I11)))</formula>
    </cfRule>
    <cfRule type="containsText" dxfId="438" priority="394" operator="containsText" text="IN PROGRESS">
      <formula>NOT(ISERROR(SEARCH("IN PROGRESS",I11)))</formula>
    </cfRule>
    <cfRule type="containsText" dxfId="437" priority="395" operator="containsText" text="HOLD">
      <formula>NOT(ISERROR(SEARCH("HOLD",I11)))</formula>
    </cfRule>
    <cfRule type="containsText" dxfId="436" priority="396" operator="containsText" text="COMPLETED">
      <formula>NOT(ISERROR(SEARCH("COMPLETED",I11)))</formula>
    </cfRule>
    <cfRule type="containsText" dxfId="435" priority="397" operator="containsText" text="NOT YET STARTED">
      <formula>NOT(ISERROR(SEARCH("NOT YET STARTED",I11)))</formula>
    </cfRule>
    <cfRule type="containsText" dxfId="434" priority="398" operator="containsText" text="IN PROGRESS">
      <formula>NOT(ISERROR(SEARCH("IN PROGRESS",I11)))</formula>
    </cfRule>
    <cfRule type="containsText" dxfId="433" priority="399" operator="containsText" text="HOLD">
      <formula>NOT(ISERROR(SEARCH("HOLD",I11)))</formula>
    </cfRule>
    <cfRule type="containsText" dxfId="432" priority="400" operator="containsText" text="COMPLETED">
      <formula>NOT(ISERROR(SEARCH("COMPLETED",I11)))</formula>
    </cfRule>
    <cfRule type="containsText" dxfId="431" priority="401" operator="containsText" text="NOT YET STARTED">
      <formula>NOT(ISERROR(SEARCH("NOT YET STARTED",I11)))</formula>
    </cfRule>
    <cfRule type="containsText" dxfId="430" priority="402" operator="containsText" text="IN PROGRESS">
      <formula>NOT(ISERROR(SEARCH("IN PROGRESS",I11)))</formula>
    </cfRule>
    <cfRule type="containsText" dxfId="429" priority="403" operator="containsText" text="HOLD">
      <formula>NOT(ISERROR(SEARCH("HOLD",I11)))</formula>
    </cfRule>
    <cfRule type="containsText" dxfId="428" priority="404" operator="containsText" text="COMPLETED">
      <formula>NOT(ISERROR(SEARCH("COMPLETED",I11)))</formula>
    </cfRule>
    <cfRule type="containsText" dxfId="427" priority="405" operator="containsText" text="NOT YET STARTED">
      <formula>NOT(ISERROR(SEARCH("NOT YET STARTED",I11)))</formula>
    </cfRule>
    <cfRule type="containsText" dxfId="426" priority="406" operator="containsText" text="IN PROGRESS">
      <formula>NOT(ISERROR(SEARCH("IN PROGRESS",I11)))</formula>
    </cfRule>
    <cfRule type="containsText" dxfId="425" priority="407" operator="containsText" text="HOLD">
      <formula>NOT(ISERROR(SEARCH("HOLD",I11)))</formula>
    </cfRule>
    <cfRule type="containsText" dxfId="424" priority="408" operator="containsText" text="COMPLETED">
      <formula>NOT(ISERROR(SEARCH("COMPLETED",I11)))</formula>
    </cfRule>
    <cfRule type="containsText" dxfId="423" priority="409" operator="containsText" text="NOT YET STARTED">
      <formula>NOT(ISERROR(SEARCH("NOT YET STARTED",I11)))</formula>
    </cfRule>
    <cfRule type="containsText" dxfId="422" priority="410" operator="containsText" text="IN PROGRESS">
      <formula>NOT(ISERROR(SEARCH("IN PROGRESS",I11)))</formula>
    </cfRule>
    <cfRule type="containsText" dxfId="421" priority="411" operator="containsText" text="HOLD">
      <formula>NOT(ISERROR(SEARCH("HOLD",I11)))</formula>
    </cfRule>
    <cfRule type="containsText" dxfId="420" priority="412" operator="containsText" text="COMPLETED">
      <formula>NOT(ISERROR(SEARCH("COMPLETED",I11)))</formula>
    </cfRule>
    <cfRule type="containsText" dxfId="419" priority="413" operator="containsText" text="NOT YET STARTED">
      <formula>NOT(ISERROR(SEARCH("NOT YET STARTED",I11)))</formula>
    </cfRule>
    <cfRule type="containsText" dxfId="418" priority="414" operator="containsText" text="IN PROGRESS">
      <formula>NOT(ISERROR(SEARCH("IN PROGRESS",I11)))</formula>
    </cfRule>
    <cfRule type="containsText" dxfId="417" priority="415" operator="containsText" text="HOLD">
      <formula>NOT(ISERROR(SEARCH("HOLD",I11)))</formula>
    </cfRule>
    <cfRule type="containsText" dxfId="416" priority="416" operator="containsText" text="COMPLETED">
      <formula>NOT(ISERROR(SEARCH("COMPLETED",I11)))</formula>
    </cfRule>
    <cfRule type="containsText" dxfId="415" priority="417" operator="containsText" text="NOT YET STARTED">
      <formula>NOT(ISERROR(SEARCH("NOT YET STARTED",I11)))</formula>
    </cfRule>
    <cfRule type="containsText" dxfId="414" priority="418" operator="containsText" text="IN PROGRESS">
      <formula>NOT(ISERROR(SEARCH("IN PROGRESS",I11)))</formula>
    </cfRule>
    <cfRule type="containsText" dxfId="413" priority="419" operator="containsText" text="HOLD">
      <formula>NOT(ISERROR(SEARCH("HOLD",I11)))</formula>
    </cfRule>
    <cfRule type="containsText" dxfId="412" priority="420" operator="containsText" text="COMPLETED">
      <formula>NOT(ISERROR(SEARCH("COMPLETED",I11)))</formula>
    </cfRule>
    <cfRule type="containsText" dxfId="411" priority="421" operator="containsText" text="NOT YET STARTED">
      <formula>NOT(ISERROR(SEARCH("NOT YET STARTED",I11)))</formula>
    </cfRule>
    <cfRule type="containsText" dxfId="410" priority="422" operator="containsText" text="IN PROGRESS">
      <formula>NOT(ISERROR(SEARCH("IN PROGRESS",I11)))</formula>
    </cfRule>
    <cfRule type="containsText" dxfId="409" priority="423" operator="containsText" text="HOLD">
      <formula>NOT(ISERROR(SEARCH("HOLD",I11)))</formula>
    </cfRule>
    <cfRule type="containsText" dxfId="408" priority="424" operator="containsText" text="COMPLETED">
      <formula>NOT(ISERROR(SEARCH("COMPLETED",I11)))</formula>
    </cfRule>
    <cfRule type="containsText" dxfId="407" priority="425" operator="containsText" text="NOT YET STARTED">
      <formula>NOT(ISERROR(SEARCH("NOT YET STARTED",I11)))</formula>
    </cfRule>
    <cfRule type="containsText" dxfId="406" priority="426" operator="containsText" text="IN PROGRESS">
      <formula>NOT(ISERROR(SEARCH("IN PROGRESS",I11)))</formula>
    </cfRule>
    <cfRule type="containsText" dxfId="405" priority="427" operator="containsText" text="HOLD">
      <formula>NOT(ISERROR(SEARCH("HOLD",I11)))</formula>
    </cfRule>
    <cfRule type="containsText" dxfId="404" priority="428" operator="containsText" text="COMPLETED">
      <formula>NOT(ISERROR(SEARCH("COMPLETED",I11)))</formula>
    </cfRule>
    <cfRule type="containsText" dxfId="403" priority="429" operator="containsText" text="NOT YET STARTED">
      <formula>NOT(ISERROR(SEARCH("NOT YET STARTED",I11)))</formula>
    </cfRule>
    <cfRule type="containsText" dxfId="402" priority="430" operator="containsText" text="IN PROGRESS">
      <formula>NOT(ISERROR(SEARCH("IN PROGRESS",I11)))</formula>
    </cfRule>
    <cfRule type="containsText" dxfId="401" priority="431" operator="containsText" text="HOLD">
      <formula>NOT(ISERROR(SEARCH("HOLD",I11)))</formula>
    </cfRule>
    <cfRule type="containsText" dxfId="400" priority="432" operator="containsText" text="COMPLETED">
      <formula>NOT(ISERROR(SEARCH("COMPLETED",I11)))</formula>
    </cfRule>
    <cfRule type="containsText" dxfId="399" priority="433" operator="containsText" text="NOT YET STARTED">
      <formula>NOT(ISERROR(SEARCH("NOT YET STARTED",I11)))</formula>
    </cfRule>
    <cfRule type="containsText" dxfId="398" priority="434" operator="containsText" text="IN PROGRESS">
      <formula>NOT(ISERROR(SEARCH("IN PROGRESS",I11)))</formula>
    </cfRule>
    <cfRule type="containsText" dxfId="397" priority="435" operator="containsText" text="HOLD">
      <formula>NOT(ISERROR(SEARCH("HOLD",I11)))</formula>
    </cfRule>
    <cfRule type="containsText" dxfId="396" priority="436" operator="containsText" text="COMPLETED">
      <formula>NOT(ISERROR(SEARCH("COMPLETED",I11)))</formula>
    </cfRule>
    <cfRule type="containsText" dxfId="395" priority="437" operator="containsText" text="NOT YET STARTED">
      <formula>NOT(ISERROR(SEARCH("NOT YET STARTED",I11)))</formula>
    </cfRule>
    <cfRule type="containsText" dxfId="394" priority="438" operator="containsText" text="IN PROGRESS">
      <formula>NOT(ISERROR(SEARCH("IN PROGRESS",I11)))</formula>
    </cfRule>
    <cfRule type="containsText" dxfId="393" priority="439" operator="containsText" text="HOLD">
      <formula>NOT(ISERROR(SEARCH("HOLD",I11)))</formula>
    </cfRule>
    <cfRule type="containsText" dxfId="392" priority="440" operator="containsText" text="COMPLETED">
      <formula>NOT(ISERROR(SEARCH("COMPLETED",I11)))</formula>
    </cfRule>
    <cfRule type="containsText" dxfId="391" priority="441" operator="containsText" text="NOT YET STARTED">
      <formula>NOT(ISERROR(SEARCH("NOT YET STARTED",I11)))</formula>
    </cfRule>
    <cfRule type="containsText" dxfId="390" priority="442" operator="containsText" text="IN PROGRESS">
      <formula>NOT(ISERROR(SEARCH("IN PROGRESS",I11)))</formula>
    </cfRule>
    <cfRule type="containsText" dxfId="389" priority="443" operator="containsText" text="HOLD">
      <formula>NOT(ISERROR(SEARCH("HOLD",I11)))</formula>
    </cfRule>
    <cfRule type="containsText" dxfId="388" priority="444" operator="containsText" text="COMPLETED">
      <formula>NOT(ISERROR(SEARCH("COMPLETED",I11)))</formula>
    </cfRule>
    <cfRule type="containsText" dxfId="387" priority="445" operator="containsText" text="NOT YET STARTED">
      <formula>NOT(ISERROR(SEARCH("NOT YET STARTED",I11)))</formula>
    </cfRule>
    <cfRule type="containsText" dxfId="386" priority="446" operator="containsText" text="IN PROGRESS">
      <formula>NOT(ISERROR(SEARCH("IN PROGRESS",I11)))</formula>
    </cfRule>
    <cfRule type="containsText" dxfId="385" priority="447" operator="containsText" text="HOLD">
      <formula>NOT(ISERROR(SEARCH("HOLD",I11)))</formula>
    </cfRule>
    <cfRule type="containsText" dxfId="384" priority="448" operator="containsText" text="COMPLETED">
      <formula>NOT(ISERROR(SEARCH("COMPLETED",I11)))</formula>
    </cfRule>
    <cfRule type="containsText" dxfId="383" priority="449" operator="containsText" text="NOT YET STARTED">
      <formula>NOT(ISERROR(SEARCH("NOT YET STARTED",I11)))</formula>
    </cfRule>
    <cfRule type="containsText" dxfId="382" priority="450" operator="containsText" text="IN PROGRESS">
      <formula>NOT(ISERROR(SEARCH("IN PROGRESS",I11)))</formula>
    </cfRule>
    <cfRule type="containsText" dxfId="381" priority="451" operator="containsText" text="HOLD">
      <formula>NOT(ISERROR(SEARCH("HOLD",I11)))</formula>
    </cfRule>
    <cfRule type="containsText" dxfId="380" priority="452" operator="containsText" text="COMPLETED">
      <formula>NOT(ISERROR(SEARCH("COMPLETED",I11)))</formula>
    </cfRule>
    <cfRule type="containsText" dxfId="379" priority="453" operator="containsText" text="NOT YET STARTED">
      <formula>NOT(ISERROR(SEARCH("NOT YET STARTED",I11)))</formula>
    </cfRule>
    <cfRule type="containsText" dxfId="378" priority="454" operator="containsText" text="IN PROGRESS">
      <formula>NOT(ISERROR(SEARCH("IN PROGRESS",I11)))</formula>
    </cfRule>
    <cfRule type="containsText" dxfId="377" priority="455" operator="containsText" text="HOLD">
      <formula>NOT(ISERROR(SEARCH("HOLD",I11)))</formula>
    </cfRule>
    <cfRule type="containsText" dxfId="376" priority="456" operator="containsText" text="COMPLETED">
      <formula>NOT(ISERROR(SEARCH("COMPLETED",I11)))</formula>
    </cfRule>
    <cfRule type="containsText" dxfId="375" priority="457" operator="containsText" text="NOT YET STARTED">
      <formula>NOT(ISERROR(SEARCH("NOT YET STARTED",I11)))</formula>
    </cfRule>
    <cfRule type="containsText" dxfId="374" priority="458" operator="containsText" text="IN PROGRESS">
      <formula>NOT(ISERROR(SEARCH("IN PROGRESS",I11)))</formula>
    </cfRule>
    <cfRule type="containsText" dxfId="373" priority="459" operator="containsText" text="HOLD">
      <formula>NOT(ISERROR(SEARCH("HOLD",I11)))</formula>
    </cfRule>
    <cfRule type="containsText" dxfId="372" priority="460" operator="containsText" text="COMPLETED">
      <formula>NOT(ISERROR(SEARCH("COMPLETED",I11)))</formula>
    </cfRule>
    <cfRule type="containsText" dxfId="371" priority="461" operator="containsText" text="NOT YET STARTED">
      <formula>NOT(ISERROR(SEARCH("NOT YET STARTED",I11)))</formula>
    </cfRule>
    <cfRule type="containsText" dxfId="370" priority="462" operator="containsText" text="IN PROGRESS">
      <formula>NOT(ISERROR(SEARCH("IN PROGRESS",I11)))</formula>
    </cfRule>
    <cfRule type="containsText" dxfId="369" priority="463" operator="containsText" text="HOLD">
      <formula>NOT(ISERROR(SEARCH("HOLD",I11)))</formula>
    </cfRule>
    <cfRule type="containsText" dxfId="368" priority="464" operator="containsText" text="COMPLETED">
      <formula>NOT(ISERROR(SEARCH("COMPLETED",I11)))</formula>
    </cfRule>
    <cfRule type="containsText" dxfId="367" priority="465" operator="containsText" text="NOT YET STARTED">
      <formula>NOT(ISERROR(SEARCH("NOT YET STARTED",I11)))</formula>
    </cfRule>
    <cfRule type="containsText" dxfId="366" priority="466" operator="containsText" text="IN PROGRESS">
      <formula>NOT(ISERROR(SEARCH("IN PROGRESS",I11)))</formula>
    </cfRule>
    <cfRule type="containsText" dxfId="365" priority="467" operator="containsText" text="COMPLETED">
      <formula>NOT(ISERROR(SEARCH("COMPLETED",I11)))</formula>
    </cfRule>
    <cfRule type="containsText" dxfId="364" priority="468" operator="containsText" text="NOT YET STARTED">
      <formula>NOT(ISERROR(SEARCH("NOT YET STARTED",I11)))</formula>
    </cfRule>
    <cfRule type="containsText" dxfId="363" priority="469" operator="containsText" text="IN PROGRESS">
      <formula>NOT(ISERROR(SEARCH("IN PROGRESS",I11)))</formula>
    </cfRule>
    <cfRule type="containsText" dxfId="362" priority="470" operator="containsText" text="HOLD">
      <formula>NOT(ISERROR(SEARCH("HOLD",I11)))</formula>
    </cfRule>
    <cfRule type="containsText" dxfId="361" priority="471" operator="containsText" text="COMPLETED">
      <formula>NOT(ISERROR(SEARCH("COMPLETED",I11)))</formula>
    </cfRule>
    <cfRule type="containsText" dxfId="360" priority="472" operator="containsText" text="NOT YET STARTED">
      <formula>NOT(ISERROR(SEARCH("NOT YET STARTED",I11)))</formula>
    </cfRule>
    <cfRule type="containsText" dxfId="359" priority="473" operator="containsText" text="IN PROGRESS">
      <formula>NOT(ISERROR(SEARCH("IN PROGRESS",I11)))</formula>
    </cfRule>
    <cfRule type="containsText" dxfId="358" priority="474" operator="containsText" text="HOLD">
      <formula>NOT(ISERROR(SEARCH("HOLD",I11)))</formula>
    </cfRule>
    <cfRule type="containsText" dxfId="357" priority="475" operator="containsText" text="COMPLETED">
      <formula>NOT(ISERROR(SEARCH("COMPLETED",I11)))</formula>
    </cfRule>
    <cfRule type="containsText" dxfId="356" priority="476" operator="containsText" text="NOT YET STARTED">
      <formula>NOT(ISERROR(SEARCH("NOT YET STARTED",I11)))</formula>
    </cfRule>
    <cfRule type="containsText" dxfId="355" priority="477" operator="containsText" text="IN PROGRESS">
      <formula>NOT(ISERROR(SEARCH("IN PROGRESS",I11)))</formula>
    </cfRule>
    <cfRule type="containsText" dxfId="354" priority="478" operator="containsText" text="HOLD">
      <formula>NOT(ISERROR(SEARCH("HOLD",I11)))</formula>
    </cfRule>
    <cfRule type="containsText" dxfId="353" priority="479" operator="containsText" text="COMPLETED">
      <formula>NOT(ISERROR(SEARCH("COMPLETED",I11)))</formula>
    </cfRule>
    <cfRule type="containsText" dxfId="352" priority="480" operator="containsText" text="NOT YET STARTED">
      <formula>NOT(ISERROR(SEARCH("NOT YET STARTED",I11)))</formula>
    </cfRule>
    <cfRule type="containsText" dxfId="351" priority="481" operator="containsText" text="IN PROGRESS">
      <formula>NOT(ISERROR(SEARCH("IN PROGRESS",I11)))</formula>
    </cfRule>
    <cfRule type="containsText" dxfId="350" priority="482" operator="containsText" text="HOLD">
      <formula>NOT(ISERROR(SEARCH("HOLD",I11)))</formula>
    </cfRule>
    <cfRule type="containsText" dxfId="349" priority="483" operator="containsText" text="COMPLETED">
      <formula>NOT(ISERROR(SEARCH("COMPLETED",I11)))</formula>
    </cfRule>
    <cfRule type="containsText" dxfId="348" priority="484" operator="containsText" text="NOT YET STARTED">
      <formula>NOT(ISERROR(SEARCH("NOT YET STARTED",I11)))</formula>
    </cfRule>
    <cfRule type="containsText" dxfId="347" priority="485" operator="containsText" text="IN PROGRESS">
      <formula>NOT(ISERROR(SEARCH("IN PROGRESS",I11)))</formula>
    </cfRule>
    <cfRule type="containsText" dxfId="346" priority="486" operator="containsText" text="HOLD">
      <formula>NOT(ISERROR(SEARCH("HOLD",I11)))</formula>
    </cfRule>
    <cfRule type="containsText" dxfId="345" priority="487" operator="containsText" text="COMPLETED">
      <formula>NOT(ISERROR(SEARCH("COMPLETED",I11)))</formula>
    </cfRule>
    <cfRule type="containsText" dxfId="344" priority="488" operator="containsText" text="NOT YET STARTED">
      <formula>NOT(ISERROR(SEARCH("NOT YET STARTED",I11)))</formula>
    </cfRule>
    <cfRule type="containsText" dxfId="343" priority="489" operator="containsText" text="IN PROGRESS">
      <formula>NOT(ISERROR(SEARCH("IN PROGRESS",I11)))</formula>
    </cfRule>
    <cfRule type="containsText" dxfId="342" priority="490" operator="containsText" text="HOLD">
      <formula>NOT(ISERROR(SEARCH("HOLD",I11)))</formula>
    </cfRule>
    <cfRule type="containsText" dxfId="341" priority="491" operator="containsText" text="COMPLETED">
      <formula>NOT(ISERROR(SEARCH("COMPLETED",I11)))</formula>
    </cfRule>
    <cfRule type="containsText" dxfId="340" priority="492" operator="containsText" text="NOT YET STARTED">
      <formula>NOT(ISERROR(SEARCH("NOT YET STARTED",I11)))</formula>
    </cfRule>
    <cfRule type="containsText" dxfId="339" priority="493" operator="containsText" text="IN PROGRESS">
      <formula>NOT(ISERROR(SEARCH("IN PROGRESS",I11)))</formula>
    </cfRule>
    <cfRule type="containsText" dxfId="338" priority="494" operator="containsText" text="HOLD">
      <formula>NOT(ISERROR(SEARCH("HOLD",I11)))</formula>
    </cfRule>
    <cfRule type="containsText" dxfId="337" priority="495" operator="containsText" text="COMPLETED">
      <formula>NOT(ISERROR(SEARCH("COMPLETED",I11)))</formula>
    </cfRule>
    <cfRule type="containsText" dxfId="336" priority="496" operator="containsText" text="NOT YET STARTED">
      <formula>NOT(ISERROR(SEARCH("NOT YET STARTED",I11)))</formula>
    </cfRule>
    <cfRule type="containsText" dxfId="335" priority="497" operator="containsText" text="IN PROGRESS">
      <formula>NOT(ISERROR(SEARCH("IN PROGRESS",I11)))</formula>
    </cfRule>
    <cfRule type="containsText" dxfId="334" priority="498" operator="containsText" text="HOLD">
      <formula>NOT(ISERROR(SEARCH("HOLD",I11)))</formula>
    </cfRule>
    <cfRule type="containsText" dxfId="333" priority="499" operator="containsText" text="COMPLETED">
      <formula>NOT(ISERROR(SEARCH("COMPLETED",I11)))</formula>
    </cfRule>
    <cfRule type="containsText" dxfId="332" priority="500" operator="containsText" text="NOT YET STARTED">
      <formula>NOT(ISERROR(SEARCH("NOT YET STARTED",I11)))</formula>
    </cfRule>
    <cfRule type="containsText" dxfId="331" priority="501" operator="containsText" text="IN PROGRESS">
      <formula>NOT(ISERROR(SEARCH("IN PROGRESS",I11)))</formula>
    </cfRule>
  </conditionalFormatting>
  <conditionalFormatting sqref="I11:I13">
    <cfRule type="containsText" dxfId="330" priority="164" operator="containsText" text="HOLD">
      <formula>NOT(ISERROR(SEARCH("HOLD",I11)))</formula>
    </cfRule>
    <cfRule type="containsText" dxfId="329" priority="165" operator="containsText" text="COMPLETED">
      <formula>NOT(ISERROR(SEARCH("COMPLETED",I11)))</formula>
    </cfRule>
    <cfRule type="containsText" dxfId="328" priority="166" operator="containsText" text="NOT YET STARTED">
      <formula>NOT(ISERROR(SEARCH("NOT YET STARTED",I11)))</formula>
    </cfRule>
    <cfRule type="containsText" dxfId="327" priority="167" operator="containsText" text="IN PROGRESS">
      <formula>NOT(ISERROR(SEARCH("IN PROGRESS",I11)))</formula>
    </cfRule>
  </conditionalFormatting>
  <conditionalFormatting sqref="I12">
    <cfRule type="containsText" dxfId="326" priority="1" operator="containsText" text="HOLD">
      <formula>NOT(ISERROR(SEARCH("HOLD",I12)))</formula>
    </cfRule>
    <cfRule type="containsText" dxfId="325" priority="2" operator="containsText" text="COMPLETED">
      <formula>NOT(ISERROR(SEARCH("COMPLETED",I12)))</formula>
    </cfRule>
    <cfRule type="containsText" dxfId="324" priority="3" operator="containsText" text="NOT YET STARTED">
      <formula>NOT(ISERROR(SEARCH("NOT YET STARTED",I12)))</formula>
    </cfRule>
    <cfRule type="containsText" dxfId="323" priority="4" operator="containsText" text="IN PROGRESS">
      <formula>NOT(ISERROR(SEARCH("IN PROGRESS",I12)))</formula>
    </cfRule>
    <cfRule type="containsText" dxfId="322" priority="5" operator="containsText" text="HOLD">
      <formula>NOT(ISERROR(SEARCH("HOLD",I12)))</formula>
    </cfRule>
    <cfRule type="containsText" dxfId="321" priority="6" operator="containsText" text="COMPLETED">
      <formula>NOT(ISERROR(SEARCH("COMPLETED",I12)))</formula>
    </cfRule>
    <cfRule type="containsText" dxfId="320" priority="7" operator="containsText" text="NOT YET STARTED">
      <formula>NOT(ISERROR(SEARCH("NOT YET STARTED",I12)))</formula>
    </cfRule>
    <cfRule type="containsText" dxfId="319" priority="8" operator="containsText" text="IN PROGRESS">
      <formula>NOT(ISERROR(SEARCH("IN PROGRESS",I12)))</formula>
    </cfRule>
    <cfRule type="containsText" dxfId="318" priority="9" operator="containsText" text="HOLD">
      <formula>NOT(ISERROR(SEARCH("HOLD",I12)))</formula>
    </cfRule>
    <cfRule type="containsText" dxfId="317" priority="10" operator="containsText" text="COMPLETED">
      <formula>NOT(ISERROR(SEARCH("COMPLETED",I12)))</formula>
    </cfRule>
    <cfRule type="containsText" dxfId="316" priority="11" operator="containsText" text="NOT YET STARTED">
      <formula>NOT(ISERROR(SEARCH("NOT YET STARTED",I12)))</formula>
    </cfRule>
    <cfRule type="containsText" dxfId="315" priority="12" operator="containsText" text="IN PROGRESS">
      <formula>NOT(ISERROR(SEARCH("IN PROGRESS",I12)))</formula>
    </cfRule>
    <cfRule type="containsText" dxfId="314" priority="13" operator="containsText" text="HOLD">
      <formula>NOT(ISERROR(SEARCH("HOLD",I12)))</formula>
    </cfRule>
    <cfRule type="containsText" dxfId="313" priority="14" operator="containsText" text="COMPLETED">
      <formula>NOT(ISERROR(SEARCH("COMPLETED",I12)))</formula>
    </cfRule>
    <cfRule type="containsText" dxfId="312" priority="15" operator="containsText" text="NOT YET STARTED">
      <formula>NOT(ISERROR(SEARCH("NOT YET STARTED",I12)))</formula>
    </cfRule>
    <cfRule type="containsText" dxfId="311" priority="16" operator="containsText" text="IN PROGRESS">
      <formula>NOT(ISERROR(SEARCH("IN PROGRESS",I12)))</formula>
    </cfRule>
    <cfRule type="containsText" dxfId="310" priority="17" operator="containsText" text="HOLD">
      <formula>NOT(ISERROR(SEARCH("HOLD",I12)))</formula>
    </cfRule>
    <cfRule type="containsText" dxfId="309" priority="18" operator="containsText" text="COMPLETED">
      <formula>NOT(ISERROR(SEARCH("COMPLETED",I12)))</formula>
    </cfRule>
    <cfRule type="containsText" dxfId="308" priority="19" operator="containsText" text="NOT YET STARTED">
      <formula>NOT(ISERROR(SEARCH("NOT YET STARTED",I12)))</formula>
    </cfRule>
    <cfRule type="containsText" dxfId="307" priority="20" operator="containsText" text="IN PROGRESS">
      <formula>NOT(ISERROR(SEARCH("IN PROGRESS",I12)))</formula>
    </cfRule>
    <cfRule type="containsText" dxfId="306" priority="21" operator="containsText" text="HOLD">
      <formula>NOT(ISERROR(SEARCH("HOLD",I12)))</formula>
    </cfRule>
    <cfRule type="containsText" dxfId="305" priority="22" operator="containsText" text="COMPLETED">
      <formula>NOT(ISERROR(SEARCH("COMPLETED",I12)))</formula>
    </cfRule>
    <cfRule type="containsText" dxfId="304" priority="23" operator="containsText" text="NOT YET STARTED">
      <formula>NOT(ISERROR(SEARCH("NOT YET STARTED",I12)))</formula>
    </cfRule>
    <cfRule type="containsText" dxfId="303" priority="24" operator="containsText" text="IN PROGRESS">
      <formula>NOT(ISERROR(SEARCH("IN PROGRESS",I12)))</formula>
    </cfRule>
    <cfRule type="containsText" dxfId="302" priority="25" operator="containsText" text="HOLD">
      <formula>NOT(ISERROR(SEARCH("HOLD",I12)))</formula>
    </cfRule>
    <cfRule type="containsText" dxfId="301" priority="26" operator="containsText" text="COMPLETED">
      <formula>NOT(ISERROR(SEARCH("COMPLETED",I12)))</formula>
    </cfRule>
    <cfRule type="containsText" dxfId="300" priority="27" operator="containsText" text="NOT YET STARTED">
      <formula>NOT(ISERROR(SEARCH("NOT YET STARTED",I12)))</formula>
    </cfRule>
    <cfRule type="containsText" dxfId="299" priority="28" operator="containsText" text="IN PROGRESS">
      <formula>NOT(ISERROR(SEARCH("IN PROGRESS",I12)))</formula>
    </cfRule>
    <cfRule type="containsText" dxfId="298" priority="29" operator="containsText" text="HOLD">
      <formula>NOT(ISERROR(SEARCH("HOLD",I12)))</formula>
    </cfRule>
    <cfRule type="containsText" dxfId="297" priority="30" operator="containsText" text="COMPLETED">
      <formula>NOT(ISERROR(SEARCH("COMPLETED",I12)))</formula>
    </cfRule>
    <cfRule type="containsText" dxfId="296" priority="31" operator="containsText" text="NOT YET STARTED">
      <formula>NOT(ISERROR(SEARCH("NOT YET STARTED",I12)))</formula>
    </cfRule>
    <cfRule type="containsText" dxfId="295" priority="32" operator="containsText" text="IN PROGRESS">
      <formula>NOT(ISERROR(SEARCH("IN PROGRESS",I12)))</formula>
    </cfRule>
    <cfRule type="containsText" dxfId="294" priority="33" operator="containsText" text="HOLD">
      <formula>NOT(ISERROR(SEARCH("HOLD",I12)))</formula>
    </cfRule>
    <cfRule type="containsText" dxfId="293" priority="34" operator="containsText" text="COMPLETED">
      <formula>NOT(ISERROR(SEARCH("COMPLETED",I12)))</formula>
    </cfRule>
    <cfRule type="containsText" dxfId="292" priority="35" operator="containsText" text="NOT YET STARTED">
      <formula>NOT(ISERROR(SEARCH("NOT YET STARTED",I12)))</formula>
    </cfRule>
    <cfRule type="containsText" dxfId="291" priority="36" operator="containsText" text="IN PROGRESS">
      <formula>NOT(ISERROR(SEARCH("IN PROGRESS",I12)))</formula>
    </cfRule>
    <cfRule type="containsText" dxfId="290" priority="37" operator="containsText" text="HOLD">
      <formula>NOT(ISERROR(SEARCH("HOLD",I12)))</formula>
    </cfRule>
    <cfRule type="containsText" dxfId="289" priority="38" operator="containsText" text="COMPLETED">
      <formula>NOT(ISERROR(SEARCH("COMPLETED",I12)))</formula>
    </cfRule>
    <cfRule type="containsText" dxfId="288" priority="39" operator="containsText" text="NOT YET STARTED">
      <formula>NOT(ISERROR(SEARCH("NOT YET STARTED",I12)))</formula>
    </cfRule>
    <cfRule type="containsText" dxfId="287" priority="40" operator="containsText" text="IN PROGRESS">
      <formula>NOT(ISERROR(SEARCH("IN PROGRESS",I12)))</formula>
    </cfRule>
    <cfRule type="containsText" dxfId="286" priority="41" operator="containsText" text="HOLD">
      <formula>NOT(ISERROR(SEARCH("HOLD",I12)))</formula>
    </cfRule>
    <cfRule type="containsText" dxfId="285" priority="42" operator="containsText" text="COMPLETED">
      <formula>NOT(ISERROR(SEARCH("COMPLETED",I12)))</formula>
    </cfRule>
    <cfRule type="containsText" dxfId="284" priority="43" operator="containsText" text="NOT YET STARTED">
      <formula>NOT(ISERROR(SEARCH("NOT YET STARTED",I12)))</formula>
    </cfRule>
    <cfRule type="containsText" dxfId="283" priority="44" operator="containsText" text="IN PROGRESS">
      <formula>NOT(ISERROR(SEARCH("IN PROGRESS",I12)))</formula>
    </cfRule>
    <cfRule type="containsText" dxfId="282" priority="45" operator="containsText" text="HOLD">
      <formula>NOT(ISERROR(SEARCH("HOLD",I12)))</formula>
    </cfRule>
    <cfRule type="containsText" dxfId="281" priority="46" operator="containsText" text="COMPLETED">
      <formula>NOT(ISERROR(SEARCH("COMPLETED",I12)))</formula>
    </cfRule>
    <cfRule type="containsText" dxfId="280" priority="47" operator="containsText" text="NOT YET STARTED">
      <formula>NOT(ISERROR(SEARCH("NOT YET STARTED",I12)))</formula>
    </cfRule>
    <cfRule type="containsText" dxfId="279" priority="48" operator="containsText" text="IN PROGRESS">
      <formula>NOT(ISERROR(SEARCH("IN PROGRESS",I12)))</formula>
    </cfRule>
    <cfRule type="containsText" dxfId="278" priority="49" operator="containsText" text="HOLD">
      <formula>NOT(ISERROR(SEARCH("HOLD",I12)))</formula>
    </cfRule>
    <cfRule type="containsText" dxfId="277" priority="50" operator="containsText" text="COMPLETED">
      <formula>NOT(ISERROR(SEARCH("COMPLETED",I12)))</formula>
    </cfRule>
    <cfRule type="containsText" dxfId="276" priority="51" operator="containsText" text="NOT YET STARTED">
      <formula>NOT(ISERROR(SEARCH("NOT YET STARTED",I12)))</formula>
    </cfRule>
    <cfRule type="containsText" dxfId="275" priority="52" operator="containsText" text="IN PROGRESS">
      <formula>NOT(ISERROR(SEARCH("IN PROGRESS",I12)))</formula>
    </cfRule>
    <cfRule type="containsText" dxfId="274" priority="53" operator="containsText" text="HOLD">
      <formula>NOT(ISERROR(SEARCH("HOLD",I12)))</formula>
    </cfRule>
    <cfRule type="containsText" dxfId="273" priority="54" operator="containsText" text="COMPLETED">
      <formula>NOT(ISERROR(SEARCH("COMPLETED",I12)))</formula>
    </cfRule>
    <cfRule type="containsText" dxfId="272" priority="55" operator="containsText" text="NOT YET STARTED">
      <formula>NOT(ISERROR(SEARCH("NOT YET STARTED",I12)))</formula>
    </cfRule>
    <cfRule type="containsText" dxfId="271" priority="56" operator="containsText" text="IN PROGRESS">
      <formula>NOT(ISERROR(SEARCH("IN PROGRESS",I12)))</formula>
    </cfRule>
    <cfRule type="containsText" dxfId="270" priority="57" operator="containsText" text="HOLD">
      <formula>NOT(ISERROR(SEARCH("HOLD",I12)))</formula>
    </cfRule>
    <cfRule type="containsText" dxfId="269" priority="58" operator="containsText" text="COMPLETED">
      <formula>NOT(ISERROR(SEARCH("COMPLETED",I12)))</formula>
    </cfRule>
    <cfRule type="containsText" dxfId="268" priority="59" operator="containsText" text="NOT YET STARTED">
      <formula>NOT(ISERROR(SEARCH("NOT YET STARTED",I12)))</formula>
    </cfRule>
    <cfRule type="containsText" dxfId="267" priority="60" operator="containsText" text="IN PROGRESS">
      <formula>NOT(ISERROR(SEARCH("IN PROGRESS",I12)))</formula>
    </cfRule>
    <cfRule type="containsText" dxfId="266" priority="61" operator="containsText" text="HOLD">
      <formula>NOT(ISERROR(SEARCH("HOLD",I12)))</formula>
    </cfRule>
    <cfRule type="containsText" dxfId="265" priority="62" operator="containsText" text="COMPLETED">
      <formula>NOT(ISERROR(SEARCH("COMPLETED",I12)))</formula>
    </cfRule>
    <cfRule type="containsText" dxfId="264" priority="63" operator="containsText" text="NOT YET STARTED">
      <formula>NOT(ISERROR(SEARCH("NOT YET STARTED",I12)))</formula>
    </cfRule>
    <cfRule type="containsText" dxfId="263" priority="64" operator="containsText" text="IN PROGRESS">
      <formula>NOT(ISERROR(SEARCH("IN PROGRESS",I12)))</formula>
    </cfRule>
    <cfRule type="containsText" dxfId="262" priority="65" operator="containsText" text="HOLD">
      <formula>NOT(ISERROR(SEARCH("HOLD",I12)))</formula>
    </cfRule>
    <cfRule type="containsText" dxfId="261" priority="66" operator="containsText" text="COMPLETED">
      <formula>NOT(ISERROR(SEARCH("COMPLETED",I12)))</formula>
    </cfRule>
    <cfRule type="containsText" dxfId="260" priority="67" operator="containsText" text="NOT YET STARTED">
      <formula>NOT(ISERROR(SEARCH("NOT YET STARTED",I12)))</formula>
    </cfRule>
    <cfRule type="containsText" dxfId="259" priority="68" operator="containsText" text="IN PROGRESS">
      <formula>NOT(ISERROR(SEARCH("IN PROGRESS",I12)))</formula>
    </cfRule>
    <cfRule type="containsText" dxfId="258" priority="69" operator="containsText" text="HOLD">
      <formula>NOT(ISERROR(SEARCH("HOLD",I12)))</formula>
    </cfRule>
    <cfRule type="containsText" dxfId="257" priority="70" operator="containsText" text="COMPLETED">
      <formula>NOT(ISERROR(SEARCH("COMPLETED",I12)))</formula>
    </cfRule>
    <cfRule type="containsText" dxfId="256" priority="71" operator="containsText" text="NOT YET STARTED">
      <formula>NOT(ISERROR(SEARCH("NOT YET STARTED",I12)))</formula>
    </cfRule>
    <cfRule type="containsText" dxfId="255" priority="72" operator="containsText" text="IN PROGRESS">
      <formula>NOT(ISERROR(SEARCH("IN PROGRESS",I12)))</formula>
    </cfRule>
    <cfRule type="containsText" dxfId="254" priority="73" operator="containsText" text="HOLD">
      <formula>NOT(ISERROR(SEARCH("HOLD",I12)))</formula>
    </cfRule>
    <cfRule type="containsText" dxfId="253" priority="74" operator="containsText" text="COMPLETED">
      <formula>NOT(ISERROR(SEARCH("COMPLETED",I12)))</formula>
    </cfRule>
    <cfRule type="containsText" dxfId="252" priority="75" operator="containsText" text="NOT YET STARTED">
      <formula>NOT(ISERROR(SEARCH("NOT YET STARTED",I12)))</formula>
    </cfRule>
    <cfRule type="containsText" dxfId="251" priority="76" operator="containsText" text="IN PROGRESS">
      <formula>NOT(ISERROR(SEARCH("IN PROGRESS",I12)))</formula>
    </cfRule>
    <cfRule type="containsText" dxfId="250" priority="77" operator="containsText" text="HOLD">
      <formula>NOT(ISERROR(SEARCH("HOLD",I12)))</formula>
    </cfRule>
    <cfRule type="containsText" dxfId="249" priority="78" operator="containsText" text="COMPLETED">
      <formula>NOT(ISERROR(SEARCH("COMPLETED",I12)))</formula>
    </cfRule>
    <cfRule type="containsText" dxfId="248" priority="79" operator="containsText" text="NOT YET STARTED">
      <formula>NOT(ISERROR(SEARCH("NOT YET STARTED",I12)))</formula>
    </cfRule>
    <cfRule type="containsText" dxfId="247" priority="80" operator="containsText" text="IN PROGRESS">
      <formula>NOT(ISERROR(SEARCH("IN PROGRESS",I12)))</formula>
    </cfRule>
    <cfRule type="containsText" dxfId="246" priority="81" operator="containsText" text="HOLD">
      <formula>NOT(ISERROR(SEARCH("HOLD",I12)))</formula>
    </cfRule>
    <cfRule type="containsText" dxfId="245" priority="82" operator="containsText" text="COMPLETED">
      <formula>NOT(ISERROR(SEARCH("COMPLETED",I12)))</formula>
    </cfRule>
    <cfRule type="containsText" dxfId="244" priority="83" operator="containsText" text="NOT YET STARTED">
      <formula>NOT(ISERROR(SEARCH("NOT YET STARTED",I12)))</formula>
    </cfRule>
    <cfRule type="containsText" dxfId="243" priority="84" operator="containsText" text="IN PROGRESS">
      <formula>NOT(ISERROR(SEARCH("IN PROGRESS",I12)))</formula>
    </cfRule>
    <cfRule type="containsText" dxfId="242" priority="85" operator="containsText" text="HOLD">
      <formula>NOT(ISERROR(SEARCH("HOLD",I12)))</formula>
    </cfRule>
    <cfRule type="containsText" dxfId="241" priority="86" operator="containsText" text="COMPLETED">
      <formula>NOT(ISERROR(SEARCH("COMPLETED",I12)))</formula>
    </cfRule>
    <cfRule type="containsText" dxfId="240" priority="87" operator="containsText" text="NOT YET STARTED">
      <formula>NOT(ISERROR(SEARCH("NOT YET STARTED",I12)))</formula>
    </cfRule>
    <cfRule type="containsText" dxfId="239" priority="88" operator="containsText" text="IN PROGRESS">
      <formula>NOT(ISERROR(SEARCH("IN PROGRESS",I12)))</formula>
    </cfRule>
    <cfRule type="containsText" dxfId="238" priority="89" operator="containsText" text="HOLD">
      <formula>NOT(ISERROR(SEARCH("HOLD",I12)))</formula>
    </cfRule>
    <cfRule type="containsText" dxfId="237" priority="90" operator="containsText" text="COMPLETED">
      <formula>NOT(ISERROR(SEARCH("COMPLETED",I12)))</formula>
    </cfRule>
    <cfRule type="containsText" dxfId="236" priority="91" operator="containsText" text="NOT YET STARTED">
      <formula>NOT(ISERROR(SEARCH("NOT YET STARTED",I12)))</formula>
    </cfRule>
    <cfRule type="containsText" dxfId="235" priority="92" operator="containsText" text="IN PROGRESS">
      <formula>NOT(ISERROR(SEARCH("IN PROGRESS",I12)))</formula>
    </cfRule>
    <cfRule type="containsText" dxfId="234" priority="93" operator="containsText" text="HOLD">
      <formula>NOT(ISERROR(SEARCH("HOLD",I12)))</formula>
    </cfRule>
    <cfRule type="containsText" dxfId="233" priority="94" operator="containsText" text="COMPLETED">
      <formula>NOT(ISERROR(SEARCH("COMPLETED",I12)))</formula>
    </cfRule>
    <cfRule type="containsText" dxfId="232" priority="95" operator="containsText" text="NOT YET STARTED">
      <formula>NOT(ISERROR(SEARCH("NOT YET STARTED",I12)))</formula>
    </cfRule>
    <cfRule type="containsText" dxfId="231" priority="96" operator="containsText" text="IN PROGRESS">
      <formula>NOT(ISERROR(SEARCH("IN PROGRESS",I12)))</formula>
    </cfRule>
    <cfRule type="containsText" dxfId="230" priority="97" operator="containsText" text="HOLD">
      <formula>NOT(ISERROR(SEARCH("HOLD",I12)))</formula>
    </cfRule>
    <cfRule type="containsText" dxfId="229" priority="98" operator="containsText" text="COMPLETED">
      <formula>NOT(ISERROR(SEARCH("COMPLETED",I12)))</formula>
    </cfRule>
    <cfRule type="containsText" dxfId="228" priority="99" operator="containsText" text="NOT YET STARTED">
      <formula>NOT(ISERROR(SEARCH("NOT YET STARTED",I12)))</formula>
    </cfRule>
    <cfRule type="containsText" dxfId="227" priority="100" operator="containsText" text="IN PROGRESS">
      <formula>NOT(ISERROR(SEARCH("IN PROGRESS",I12)))</formula>
    </cfRule>
    <cfRule type="containsText" dxfId="226" priority="101" operator="containsText" text="HOLD">
      <formula>NOT(ISERROR(SEARCH("HOLD",I12)))</formula>
    </cfRule>
    <cfRule type="containsText" dxfId="225" priority="102" operator="containsText" text="COMPLETED">
      <formula>NOT(ISERROR(SEARCH("COMPLETED",I12)))</formula>
    </cfRule>
    <cfRule type="containsText" dxfId="224" priority="103" operator="containsText" text="NOT YET STARTED">
      <formula>NOT(ISERROR(SEARCH("NOT YET STARTED",I12)))</formula>
    </cfRule>
    <cfRule type="containsText" dxfId="223" priority="104" operator="containsText" text="IN PROGRESS">
      <formula>NOT(ISERROR(SEARCH("IN PROGRESS",I12)))</formula>
    </cfRule>
    <cfRule type="containsText" dxfId="222" priority="105" operator="containsText" text="HOLD">
      <formula>NOT(ISERROR(SEARCH("HOLD",I12)))</formula>
    </cfRule>
    <cfRule type="containsText" dxfId="221" priority="106" operator="containsText" text="COMPLETED">
      <formula>NOT(ISERROR(SEARCH("COMPLETED",I12)))</formula>
    </cfRule>
    <cfRule type="containsText" dxfId="220" priority="107" operator="containsText" text="NOT YET STARTED">
      <formula>NOT(ISERROR(SEARCH("NOT YET STARTED",I12)))</formula>
    </cfRule>
    <cfRule type="containsText" dxfId="219" priority="108" operator="containsText" text="IN PROGRESS">
      <formula>NOT(ISERROR(SEARCH("IN PROGRESS",I12)))</formula>
    </cfRule>
    <cfRule type="containsText" dxfId="218" priority="109" operator="containsText" text="HOLD">
      <formula>NOT(ISERROR(SEARCH("HOLD",I12)))</formula>
    </cfRule>
    <cfRule type="containsText" dxfId="217" priority="110" operator="containsText" text="COMPLETED">
      <formula>NOT(ISERROR(SEARCH("COMPLETED",I12)))</formula>
    </cfRule>
    <cfRule type="containsText" dxfId="216" priority="111" operator="containsText" text="NOT YET STARTED">
      <formula>NOT(ISERROR(SEARCH("NOT YET STARTED",I12)))</formula>
    </cfRule>
    <cfRule type="containsText" dxfId="215" priority="112" operator="containsText" text="IN PROGRESS">
      <formula>NOT(ISERROR(SEARCH("IN PROGRESS",I12)))</formula>
    </cfRule>
    <cfRule type="containsText" dxfId="214" priority="113" operator="containsText" text="HOLD">
      <formula>NOT(ISERROR(SEARCH("HOLD",I12)))</formula>
    </cfRule>
    <cfRule type="containsText" dxfId="213" priority="114" operator="containsText" text="COMPLETED">
      <formula>NOT(ISERROR(SEARCH("COMPLETED",I12)))</formula>
    </cfRule>
    <cfRule type="containsText" dxfId="212" priority="115" operator="containsText" text="NOT YET STARTED">
      <formula>NOT(ISERROR(SEARCH("NOT YET STARTED",I12)))</formula>
    </cfRule>
    <cfRule type="containsText" dxfId="211" priority="116" operator="containsText" text="IN PROGRESS">
      <formula>NOT(ISERROR(SEARCH("IN PROGRESS",I12)))</formula>
    </cfRule>
    <cfRule type="containsText" dxfId="210" priority="117" operator="containsText" text="HOLD">
      <formula>NOT(ISERROR(SEARCH("HOLD",I12)))</formula>
    </cfRule>
    <cfRule type="containsText" dxfId="209" priority="118" operator="containsText" text="COMPLETED">
      <formula>NOT(ISERROR(SEARCH("COMPLETED",I12)))</formula>
    </cfRule>
    <cfRule type="containsText" dxfId="208" priority="119" operator="containsText" text="NOT YET STARTED">
      <formula>NOT(ISERROR(SEARCH("NOT YET STARTED",I12)))</formula>
    </cfRule>
    <cfRule type="containsText" dxfId="207" priority="120" operator="containsText" text="IN PROGRESS">
      <formula>NOT(ISERROR(SEARCH("IN PROGRESS",I12)))</formula>
    </cfRule>
    <cfRule type="containsText" dxfId="206" priority="121" operator="containsText" text="HOLD">
      <formula>NOT(ISERROR(SEARCH("HOLD",I12)))</formula>
    </cfRule>
    <cfRule type="containsText" dxfId="205" priority="122" operator="containsText" text="COMPLETED">
      <formula>NOT(ISERROR(SEARCH("COMPLETED",I12)))</formula>
    </cfRule>
    <cfRule type="containsText" dxfId="204" priority="123" operator="containsText" text="NOT YET STARTED">
      <formula>NOT(ISERROR(SEARCH("NOT YET STARTED",I12)))</formula>
    </cfRule>
    <cfRule type="containsText" dxfId="203" priority="124" operator="containsText" text="IN PROGRESS">
      <formula>NOT(ISERROR(SEARCH("IN PROGRESS",I12)))</formula>
    </cfRule>
    <cfRule type="containsText" dxfId="202" priority="125" operator="containsText" text="HOLD">
      <formula>NOT(ISERROR(SEARCH("HOLD",I12)))</formula>
    </cfRule>
    <cfRule type="containsText" dxfId="201" priority="126" operator="containsText" text="COMPLETED">
      <formula>NOT(ISERROR(SEARCH("COMPLETED",I12)))</formula>
    </cfRule>
    <cfRule type="containsText" dxfId="200" priority="127" operator="containsText" text="NOT YET STARTED">
      <formula>NOT(ISERROR(SEARCH("NOT YET STARTED",I12)))</formula>
    </cfRule>
    <cfRule type="containsText" dxfId="199" priority="128" operator="containsText" text="IN PROGRESS">
      <formula>NOT(ISERROR(SEARCH("IN PROGRESS",I12)))</formula>
    </cfRule>
    <cfRule type="containsText" dxfId="198" priority="129" operator="containsText" text="HOLD">
      <formula>NOT(ISERROR(SEARCH("HOLD",I12)))</formula>
    </cfRule>
    <cfRule type="containsText" dxfId="197" priority="130" operator="containsText" text="COMPLETED">
      <formula>NOT(ISERROR(SEARCH("COMPLETED",I12)))</formula>
    </cfRule>
    <cfRule type="containsText" dxfId="196" priority="131" operator="containsText" text="NOT YET STARTED">
      <formula>NOT(ISERROR(SEARCH("NOT YET STARTED",I12)))</formula>
    </cfRule>
    <cfRule type="containsText" dxfId="195" priority="132" operator="containsText" text="IN PROGRESS">
      <formula>NOT(ISERROR(SEARCH("IN PROGRESS",I12)))</formula>
    </cfRule>
    <cfRule type="containsText" dxfId="194" priority="133" operator="containsText" text="COMPLETED">
      <formula>NOT(ISERROR(SEARCH("COMPLETED",I12)))</formula>
    </cfRule>
    <cfRule type="containsText" dxfId="193" priority="134" operator="containsText" text="NOT YET STARTED">
      <formula>NOT(ISERROR(SEARCH("NOT YET STARTED",I12)))</formula>
    </cfRule>
    <cfRule type="containsText" dxfId="192" priority="135" operator="containsText" text="IN PROGRESS">
      <formula>NOT(ISERROR(SEARCH("IN PROGRESS",I12)))</formula>
    </cfRule>
    <cfRule type="containsText" dxfId="191" priority="136" operator="containsText" text="HOLD">
      <formula>NOT(ISERROR(SEARCH("HOLD",I12)))</formula>
    </cfRule>
    <cfRule type="containsText" dxfId="190" priority="137" operator="containsText" text="COMPLETED">
      <formula>NOT(ISERROR(SEARCH("COMPLETED",I12)))</formula>
    </cfRule>
    <cfRule type="containsText" dxfId="189" priority="138" operator="containsText" text="NOT YET STARTED">
      <formula>NOT(ISERROR(SEARCH("NOT YET STARTED",I12)))</formula>
    </cfRule>
    <cfRule type="containsText" dxfId="188" priority="139" operator="containsText" text="IN PROGRESS">
      <formula>NOT(ISERROR(SEARCH("IN PROGRESS",I12)))</formula>
    </cfRule>
    <cfRule type="containsText" dxfId="187" priority="140" operator="containsText" text="HOLD">
      <formula>NOT(ISERROR(SEARCH("HOLD",I12)))</formula>
    </cfRule>
    <cfRule type="containsText" dxfId="186" priority="141" operator="containsText" text="COMPLETED">
      <formula>NOT(ISERROR(SEARCH("COMPLETED",I12)))</formula>
    </cfRule>
    <cfRule type="containsText" dxfId="185" priority="142" operator="containsText" text="NOT YET STARTED">
      <formula>NOT(ISERROR(SEARCH("NOT YET STARTED",I12)))</formula>
    </cfRule>
    <cfRule type="containsText" dxfId="184" priority="143" operator="containsText" text="IN PROGRESS">
      <formula>NOT(ISERROR(SEARCH("IN PROGRESS",I12)))</formula>
    </cfRule>
    <cfRule type="containsText" dxfId="183" priority="144" operator="containsText" text="HOLD">
      <formula>NOT(ISERROR(SEARCH("HOLD",I12)))</formula>
    </cfRule>
    <cfRule type="containsText" dxfId="182" priority="145" operator="containsText" text="COMPLETED">
      <formula>NOT(ISERROR(SEARCH("COMPLETED",I12)))</formula>
    </cfRule>
    <cfRule type="containsText" dxfId="181" priority="146" operator="containsText" text="NOT YET STARTED">
      <formula>NOT(ISERROR(SEARCH("NOT YET STARTED",I12)))</formula>
    </cfRule>
    <cfRule type="containsText" dxfId="180" priority="147" operator="containsText" text="IN PROGRESS">
      <formula>NOT(ISERROR(SEARCH("IN PROGRESS",I12)))</formula>
    </cfRule>
    <cfRule type="containsText" dxfId="179" priority="148" operator="containsText" text="HOLD">
      <formula>NOT(ISERROR(SEARCH("HOLD",I12)))</formula>
    </cfRule>
    <cfRule type="containsText" dxfId="178" priority="149" operator="containsText" text="COMPLETED">
      <formula>NOT(ISERROR(SEARCH("COMPLETED",I12)))</formula>
    </cfRule>
    <cfRule type="containsText" dxfId="177" priority="150" operator="containsText" text="NOT YET STARTED">
      <formula>NOT(ISERROR(SEARCH("NOT YET STARTED",I12)))</formula>
    </cfRule>
    <cfRule type="containsText" dxfId="176" priority="151" operator="containsText" text="IN PROGRESS">
      <formula>NOT(ISERROR(SEARCH("IN PROGRESS",I12)))</formula>
    </cfRule>
    <cfRule type="containsText" dxfId="175" priority="152" operator="containsText" text="HOLD">
      <formula>NOT(ISERROR(SEARCH("HOLD",I12)))</formula>
    </cfRule>
    <cfRule type="containsText" dxfId="174" priority="153" operator="containsText" text="COMPLETED">
      <formula>NOT(ISERROR(SEARCH("COMPLETED",I12)))</formula>
    </cfRule>
    <cfRule type="containsText" dxfId="173" priority="154" operator="containsText" text="NOT YET STARTED">
      <formula>NOT(ISERROR(SEARCH("NOT YET STARTED",I12)))</formula>
    </cfRule>
    <cfRule type="containsText" dxfId="172" priority="155" operator="containsText" text="IN PROGRESS">
      <formula>NOT(ISERROR(SEARCH("IN PROGRESS",I12)))</formula>
    </cfRule>
    <cfRule type="containsText" dxfId="171" priority="156" operator="containsText" text="HOLD">
      <formula>NOT(ISERROR(SEARCH("HOLD",I12)))</formula>
    </cfRule>
    <cfRule type="containsText" dxfId="170" priority="157" operator="containsText" text="COMPLETED">
      <formula>NOT(ISERROR(SEARCH("COMPLETED",I12)))</formula>
    </cfRule>
    <cfRule type="containsText" dxfId="169" priority="158" operator="containsText" text="NOT YET STARTED">
      <formula>NOT(ISERROR(SEARCH("NOT YET STARTED",I12)))</formula>
    </cfRule>
    <cfRule type="containsText" dxfId="168" priority="159" operator="containsText" text="IN PROGRESS">
      <formula>NOT(ISERROR(SEARCH("IN PROGRESS",I12)))</formula>
    </cfRule>
    <cfRule type="containsText" dxfId="167" priority="160" operator="containsText" text="HOLD">
      <formula>NOT(ISERROR(SEARCH("HOLD",I12)))</formula>
    </cfRule>
    <cfRule type="containsText" dxfId="166" priority="161" operator="containsText" text="COMPLETED">
      <formula>NOT(ISERROR(SEARCH("COMPLETED",I12)))</formula>
    </cfRule>
    <cfRule type="containsText" dxfId="165" priority="162" operator="containsText" text="NOT YET STARTED">
      <formula>NOT(ISERROR(SEARCH("NOT YET STARTED",I12)))</formula>
    </cfRule>
    <cfRule type="containsText" dxfId="164" priority="163" operator="containsText" text="IN PROGRESS">
      <formula>NOT(ISERROR(SEARCH("IN PROGRESS",I12)))</formula>
    </cfRule>
  </conditionalFormatting>
  <conditionalFormatting sqref="I13">
    <cfRule type="containsText" dxfId="163" priority="172" operator="containsText" text="HOLD">
      <formula>NOT(ISERROR(SEARCH("HOLD",I13)))</formula>
    </cfRule>
    <cfRule type="containsText" dxfId="162" priority="173" operator="containsText" text="COMPLETED">
      <formula>NOT(ISERROR(SEARCH("COMPLETED",I13)))</formula>
    </cfRule>
    <cfRule type="containsText" dxfId="161" priority="174" operator="containsText" text="NOT YET STARTED">
      <formula>NOT(ISERROR(SEARCH("NOT YET STARTED",I13)))</formula>
    </cfRule>
    <cfRule type="containsText" dxfId="160" priority="175" operator="containsText" text="IN PROGRESS">
      <formula>NOT(ISERROR(SEARCH("IN PROGRESS",I13)))</formula>
    </cfRule>
    <cfRule type="containsText" dxfId="159" priority="176" operator="containsText" text="HOLD">
      <formula>NOT(ISERROR(SEARCH("HOLD",I13)))</formula>
    </cfRule>
    <cfRule type="containsText" dxfId="158" priority="177" operator="containsText" text="COMPLETED">
      <formula>NOT(ISERROR(SEARCH("COMPLETED",I13)))</formula>
    </cfRule>
    <cfRule type="containsText" dxfId="157" priority="178" operator="containsText" text="NOT YET STARTED">
      <formula>NOT(ISERROR(SEARCH("NOT YET STARTED",I13)))</formula>
    </cfRule>
    <cfRule type="containsText" dxfId="156" priority="179" operator="containsText" text="IN PROGRESS">
      <formula>NOT(ISERROR(SEARCH("IN PROGRESS",I13)))</formula>
    </cfRule>
    <cfRule type="containsText" dxfId="155" priority="180" operator="containsText" text="HOLD">
      <formula>NOT(ISERROR(SEARCH("HOLD",I13)))</formula>
    </cfRule>
    <cfRule type="containsText" dxfId="154" priority="181" operator="containsText" text="COMPLETED">
      <formula>NOT(ISERROR(SEARCH("COMPLETED",I13)))</formula>
    </cfRule>
    <cfRule type="containsText" dxfId="153" priority="182" operator="containsText" text="NOT YET STARTED">
      <formula>NOT(ISERROR(SEARCH("NOT YET STARTED",I13)))</formula>
    </cfRule>
    <cfRule type="containsText" dxfId="152" priority="183" operator="containsText" text="IN PROGRESS">
      <formula>NOT(ISERROR(SEARCH("IN PROGRESS",I13)))</formula>
    </cfRule>
    <cfRule type="containsText" dxfId="151" priority="184" operator="containsText" text="HOLD">
      <formula>NOT(ISERROR(SEARCH("HOLD",I13)))</formula>
    </cfRule>
    <cfRule type="containsText" dxfId="150" priority="185" operator="containsText" text="COMPLETED">
      <formula>NOT(ISERROR(SEARCH("COMPLETED",I13)))</formula>
    </cfRule>
    <cfRule type="containsText" dxfId="149" priority="186" operator="containsText" text="NOT YET STARTED">
      <formula>NOT(ISERROR(SEARCH("NOT YET STARTED",I13)))</formula>
    </cfRule>
    <cfRule type="containsText" dxfId="148" priority="187" operator="containsText" text="IN PROGRESS">
      <formula>NOT(ISERROR(SEARCH("IN PROGRESS",I13)))</formula>
    </cfRule>
    <cfRule type="containsText" dxfId="147" priority="188" operator="containsText" text="HOLD">
      <formula>NOT(ISERROR(SEARCH("HOLD",I13)))</formula>
    </cfRule>
    <cfRule type="containsText" dxfId="146" priority="189" operator="containsText" text="COMPLETED">
      <formula>NOT(ISERROR(SEARCH("COMPLETED",I13)))</formula>
    </cfRule>
    <cfRule type="containsText" dxfId="145" priority="190" operator="containsText" text="NOT YET STARTED">
      <formula>NOT(ISERROR(SEARCH("NOT YET STARTED",I13)))</formula>
    </cfRule>
    <cfRule type="containsText" dxfId="144" priority="191" operator="containsText" text="IN PROGRESS">
      <formula>NOT(ISERROR(SEARCH("IN PROGRESS",I13)))</formula>
    </cfRule>
    <cfRule type="containsText" dxfId="143" priority="192" operator="containsText" text="HOLD">
      <formula>NOT(ISERROR(SEARCH("HOLD",I13)))</formula>
    </cfRule>
    <cfRule type="containsText" dxfId="142" priority="193" operator="containsText" text="COMPLETED">
      <formula>NOT(ISERROR(SEARCH("COMPLETED",I13)))</formula>
    </cfRule>
    <cfRule type="containsText" dxfId="141" priority="194" operator="containsText" text="NOT YET STARTED">
      <formula>NOT(ISERROR(SEARCH("NOT YET STARTED",I13)))</formula>
    </cfRule>
    <cfRule type="containsText" dxfId="140" priority="195" operator="containsText" text="IN PROGRESS">
      <formula>NOT(ISERROR(SEARCH("IN PROGRESS",I13)))</formula>
    </cfRule>
    <cfRule type="containsText" dxfId="139" priority="196" operator="containsText" text="HOLD">
      <formula>NOT(ISERROR(SEARCH("HOLD",I13)))</formula>
    </cfRule>
    <cfRule type="containsText" dxfId="138" priority="197" operator="containsText" text="COMPLETED">
      <formula>NOT(ISERROR(SEARCH("COMPLETED",I13)))</formula>
    </cfRule>
    <cfRule type="containsText" dxfId="137" priority="198" operator="containsText" text="NOT YET STARTED">
      <formula>NOT(ISERROR(SEARCH("NOT YET STARTED",I13)))</formula>
    </cfRule>
    <cfRule type="containsText" dxfId="136" priority="199" operator="containsText" text="IN PROGRESS">
      <formula>NOT(ISERROR(SEARCH("IN PROGRESS",I13)))</formula>
    </cfRule>
    <cfRule type="containsText" dxfId="135" priority="200" operator="containsText" text="HOLD">
      <formula>NOT(ISERROR(SEARCH("HOLD",I13)))</formula>
    </cfRule>
    <cfRule type="containsText" dxfId="134" priority="201" operator="containsText" text="COMPLETED">
      <formula>NOT(ISERROR(SEARCH("COMPLETED",I13)))</formula>
    </cfRule>
    <cfRule type="containsText" dxfId="133" priority="202" operator="containsText" text="NOT YET STARTED">
      <formula>NOT(ISERROR(SEARCH("NOT YET STARTED",I13)))</formula>
    </cfRule>
    <cfRule type="containsText" dxfId="132" priority="203" operator="containsText" text="IN PROGRESS">
      <formula>NOT(ISERROR(SEARCH("IN PROGRESS",I13)))</formula>
    </cfRule>
    <cfRule type="containsText" dxfId="131" priority="204" operator="containsText" text="HOLD">
      <formula>NOT(ISERROR(SEARCH("HOLD",I13)))</formula>
    </cfRule>
    <cfRule type="containsText" dxfId="130" priority="205" operator="containsText" text="COMPLETED">
      <formula>NOT(ISERROR(SEARCH("COMPLETED",I13)))</formula>
    </cfRule>
    <cfRule type="containsText" dxfId="129" priority="206" operator="containsText" text="NOT YET STARTED">
      <formula>NOT(ISERROR(SEARCH("NOT YET STARTED",I13)))</formula>
    </cfRule>
    <cfRule type="containsText" dxfId="128" priority="207" operator="containsText" text="IN PROGRESS">
      <formula>NOT(ISERROR(SEARCH("IN PROGRESS",I13)))</formula>
    </cfRule>
    <cfRule type="containsText" dxfId="127" priority="208" operator="containsText" text="HOLD">
      <formula>NOT(ISERROR(SEARCH("HOLD",I13)))</formula>
    </cfRule>
    <cfRule type="containsText" dxfId="126" priority="209" operator="containsText" text="COMPLETED">
      <formula>NOT(ISERROR(SEARCH("COMPLETED",I13)))</formula>
    </cfRule>
    <cfRule type="containsText" dxfId="125" priority="210" operator="containsText" text="NOT YET STARTED">
      <formula>NOT(ISERROR(SEARCH("NOT YET STARTED",I13)))</formula>
    </cfRule>
    <cfRule type="containsText" dxfId="124" priority="211" operator="containsText" text="IN PROGRESS">
      <formula>NOT(ISERROR(SEARCH("IN PROGRESS",I13)))</formula>
    </cfRule>
    <cfRule type="containsText" dxfId="123" priority="212" operator="containsText" text="HOLD">
      <formula>NOT(ISERROR(SEARCH("HOLD",I13)))</formula>
    </cfRule>
    <cfRule type="containsText" dxfId="122" priority="213" operator="containsText" text="COMPLETED">
      <formula>NOT(ISERROR(SEARCH("COMPLETED",I13)))</formula>
    </cfRule>
    <cfRule type="containsText" dxfId="121" priority="214" operator="containsText" text="NOT YET STARTED">
      <formula>NOT(ISERROR(SEARCH("NOT YET STARTED",I13)))</formula>
    </cfRule>
    <cfRule type="containsText" dxfId="120" priority="215" operator="containsText" text="IN PROGRESS">
      <formula>NOT(ISERROR(SEARCH("IN PROGRESS",I13)))</formula>
    </cfRule>
    <cfRule type="containsText" dxfId="119" priority="216" operator="containsText" text="HOLD">
      <formula>NOT(ISERROR(SEARCH("HOLD",I13)))</formula>
    </cfRule>
    <cfRule type="containsText" dxfId="118" priority="217" operator="containsText" text="COMPLETED">
      <formula>NOT(ISERROR(SEARCH("COMPLETED",I13)))</formula>
    </cfRule>
    <cfRule type="containsText" dxfId="117" priority="218" operator="containsText" text="NOT YET STARTED">
      <formula>NOT(ISERROR(SEARCH("NOT YET STARTED",I13)))</formula>
    </cfRule>
    <cfRule type="containsText" dxfId="116" priority="219" operator="containsText" text="IN PROGRESS">
      <formula>NOT(ISERROR(SEARCH("IN PROGRESS",I13)))</formula>
    </cfRule>
    <cfRule type="containsText" dxfId="115" priority="220" operator="containsText" text="HOLD">
      <formula>NOT(ISERROR(SEARCH("HOLD",I13)))</formula>
    </cfRule>
    <cfRule type="containsText" dxfId="114" priority="221" operator="containsText" text="COMPLETED">
      <formula>NOT(ISERROR(SEARCH("COMPLETED",I13)))</formula>
    </cfRule>
    <cfRule type="containsText" dxfId="113" priority="222" operator="containsText" text="NOT YET STARTED">
      <formula>NOT(ISERROR(SEARCH("NOT YET STARTED",I13)))</formula>
    </cfRule>
    <cfRule type="containsText" dxfId="112" priority="223" operator="containsText" text="IN PROGRESS">
      <formula>NOT(ISERROR(SEARCH("IN PROGRESS",I13)))</formula>
    </cfRule>
    <cfRule type="containsText" dxfId="111" priority="224" operator="containsText" text="HOLD">
      <formula>NOT(ISERROR(SEARCH("HOLD",I13)))</formula>
    </cfRule>
    <cfRule type="containsText" dxfId="110" priority="225" operator="containsText" text="COMPLETED">
      <formula>NOT(ISERROR(SEARCH("COMPLETED",I13)))</formula>
    </cfRule>
    <cfRule type="containsText" dxfId="109" priority="226" operator="containsText" text="NOT YET STARTED">
      <formula>NOT(ISERROR(SEARCH("NOT YET STARTED",I13)))</formula>
    </cfRule>
    <cfRule type="containsText" dxfId="108" priority="227" operator="containsText" text="IN PROGRESS">
      <formula>NOT(ISERROR(SEARCH("IN PROGRESS",I13)))</formula>
    </cfRule>
    <cfRule type="containsText" dxfId="107" priority="228" operator="containsText" text="HOLD">
      <formula>NOT(ISERROR(SEARCH("HOLD",I13)))</formula>
    </cfRule>
    <cfRule type="containsText" dxfId="106" priority="229" operator="containsText" text="COMPLETED">
      <formula>NOT(ISERROR(SEARCH("COMPLETED",I13)))</formula>
    </cfRule>
    <cfRule type="containsText" dxfId="105" priority="230" operator="containsText" text="NOT YET STARTED">
      <formula>NOT(ISERROR(SEARCH("NOT YET STARTED",I13)))</formula>
    </cfRule>
    <cfRule type="containsText" dxfId="104" priority="231" operator="containsText" text="IN PROGRESS">
      <formula>NOT(ISERROR(SEARCH("IN PROGRESS",I13)))</formula>
    </cfRule>
    <cfRule type="containsText" dxfId="103" priority="232" operator="containsText" text="HOLD">
      <formula>NOT(ISERROR(SEARCH("HOLD",I13)))</formula>
    </cfRule>
    <cfRule type="containsText" dxfId="102" priority="233" operator="containsText" text="COMPLETED">
      <formula>NOT(ISERROR(SEARCH("COMPLETED",I13)))</formula>
    </cfRule>
    <cfRule type="containsText" dxfId="101" priority="234" operator="containsText" text="NOT YET STARTED">
      <formula>NOT(ISERROR(SEARCH("NOT YET STARTED",I13)))</formula>
    </cfRule>
    <cfRule type="containsText" dxfId="100" priority="235" operator="containsText" text="IN PROGRESS">
      <formula>NOT(ISERROR(SEARCH("IN PROGRESS",I13)))</formula>
    </cfRule>
    <cfRule type="containsText" dxfId="99" priority="236" operator="containsText" text="HOLD">
      <formula>NOT(ISERROR(SEARCH("HOLD",I13)))</formula>
    </cfRule>
    <cfRule type="containsText" dxfId="98" priority="237" operator="containsText" text="COMPLETED">
      <formula>NOT(ISERROR(SEARCH("COMPLETED",I13)))</formula>
    </cfRule>
    <cfRule type="containsText" dxfId="97" priority="238" operator="containsText" text="NOT YET STARTED">
      <formula>NOT(ISERROR(SEARCH("NOT YET STARTED",I13)))</formula>
    </cfRule>
    <cfRule type="containsText" dxfId="96" priority="239" operator="containsText" text="IN PROGRESS">
      <formula>NOT(ISERROR(SEARCH("IN PROGRESS",I13)))</formula>
    </cfRule>
    <cfRule type="containsText" dxfId="95" priority="240" operator="containsText" text="HOLD">
      <formula>NOT(ISERROR(SEARCH("HOLD",I13)))</formula>
    </cfRule>
    <cfRule type="containsText" dxfId="94" priority="241" operator="containsText" text="COMPLETED">
      <formula>NOT(ISERROR(SEARCH("COMPLETED",I13)))</formula>
    </cfRule>
    <cfRule type="containsText" dxfId="93" priority="242" operator="containsText" text="NOT YET STARTED">
      <formula>NOT(ISERROR(SEARCH("NOT YET STARTED",I13)))</formula>
    </cfRule>
    <cfRule type="containsText" dxfId="92" priority="243" operator="containsText" text="IN PROGRESS">
      <formula>NOT(ISERROR(SEARCH("IN PROGRESS",I13)))</formula>
    </cfRule>
    <cfRule type="containsText" dxfId="91" priority="244" operator="containsText" text="HOLD">
      <formula>NOT(ISERROR(SEARCH("HOLD",I13)))</formula>
    </cfRule>
    <cfRule type="containsText" dxfId="90" priority="245" operator="containsText" text="COMPLETED">
      <formula>NOT(ISERROR(SEARCH("COMPLETED",I13)))</formula>
    </cfRule>
    <cfRule type="containsText" dxfId="89" priority="246" operator="containsText" text="NOT YET STARTED">
      <formula>NOT(ISERROR(SEARCH("NOT YET STARTED",I13)))</formula>
    </cfRule>
    <cfRule type="containsText" dxfId="88" priority="247" operator="containsText" text="IN PROGRESS">
      <formula>NOT(ISERROR(SEARCH("IN PROGRESS",I13)))</formula>
    </cfRule>
    <cfRule type="containsText" dxfId="87" priority="248" operator="containsText" text="HOLD">
      <formula>NOT(ISERROR(SEARCH("HOLD",I13)))</formula>
    </cfRule>
    <cfRule type="containsText" dxfId="86" priority="249" operator="containsText" text="COMPLETED">
      <formula>NOT(ISERROR(SEARCH("COMPLETED",I13)))</formula>
    </cfRule>
    <cfRule type="containsText" dxfId="85" priority="250" operator="containsText" text="NOT YET STARTED">
      <formula>NOT(ISERROR(SEARCH("NOT YET STARTED",I13)))</formula>
    </cfRule>
    <cfRule type="containsText" dxfId="84" priority="251" operator="containsText" text="IN PROGRESS">
      <formula>NOT(ISERROR(SEARCH("IN PROGRESS",I13)))</formula>
    </cfRule>
    <cfRule type="containsText" dxfId="83" priority="252" operator="containsText" text="HOLD">
      <formula>NOT(ISERROR(SEARCH("HOLD",I13)))</formula>
    </cfRule>
    <cfRule type="containsText" dxfId="82" priority="253" operator="containsText" text="COMPLETED">
      <formula>NOT(ISERROR(SEARCH("COMPLETED",I13)))</formula>
    </cfRule>
    <cfRule type="containsText" dxfId="81" priority="254" operator="containsText" text="NOT YET STARTED">
      <formula>NOT(ISERROR(SEARCH("NOT YET STARTED",I13)))</formula>
    </cfRule>
    <cfRule type="containsText" dxfId="80" priority="255" operator="containsText" text="IN PROGRESS">
      <formula>NOT(ISERROR(SEARCH("IN PROGRESS",I13)))</formula>
    </cfRule>
    <cfRule type="containsText" dxfId="79" priority="256" operator="containsText" text="HOLD">
      <formula>NOT(ISERROR(SEARCH("HOLD",I13)))</formula>
    </cfRule>
    <cfRule type="containsText" dxfId="78" priority="257" operator="containsText" text="COMPLETED">
      <formula>NOT(ISERROR(SEARCH("COMPLETED",I13)))</formula>
    </cfRule>
    <cfRule type="containsText" dxfId="77" priority="258" operator="containsText" text="NOT YET STARTED">
      <formula>NOT(ISERROR(SEARCH("NOT YET STARTED",I13)))</formula>
    </cfRule>
    <cfRule type="containsText" dxfId="76" priority="259" operator="containsText" text="IN PROGRESS">
      <formula>NOT(ISERROR(SEARCH("IN PROGRESS",I13)))</formula>
    </cfRule>
    <cfRule type="containsText" dxfId="75" priority="260" operator="containsText" text="HOLD">
      <formula>NOT(ISERROR(SEARCH("HOLD",I13)))</formula>
    </cfRule>
    <cfRule type="containsText" dxfId="74" priority="261" operator="containsText" text="COMPLETED">
      <formula>NOT(ISERROR(SEARCH("COMPLETED",I13)))</formula>
    </cfRule>
    <cfRule type="containsText" dxfId="73" priority="262" operator="containsText" text="NOT YET STARTED">
      <formula>NOT(ISERROR(SEARCH("NOT YET STARTED",I13)))</formula>
    </cfRule>
    <cfRule type="containsText" dxfId="72" priority="263" operator="containsText" text="IN PROGRESS">
      <formula>NOT(ISERROR(SEARCH("IN PROGRESS",I13)))</formula>
    </cfRule>
    <cfRule type="containsText" dxfId="71" priority="264" operator="containsText" text="HOLD">
      <formula>NOT(ISERROR(SEARCH("HOLD",I13)))</formula>
    </cfRule>
    <cfRule type="containsText" dxfId="70" priority="265" operator="containsText" text="COMPLETED">
      <formula>NOT(ISERROR(SEARCH("COMPLETED",I13)))</formula>
    </cfRule>
    <cfRule type="containsText" dxfId="69" priority="266" operator="containsText" text="NOT YET STARTED">
      <formula>NOT(ISERROR(SEARCH("NOT YET STARTED",I13)))</formula>
    </cfRule>
    <cfRule type="containsText" dxfId="68" priority="267" operator="containsText" text="IN PROGRESS">
      <formula>NOT(ISERROR(SEARCH("IN PROGRESS",I13)))</formula>
    </cfRule>
    <cfRule type="containsText" dxfId="67" priority="268" operator="containsText" text="HOLD">
      <formula>NOT(ISERROR(SEARCH("HOLD",I13)))</formula>
    </cfRule>
    <cfRule type="containsText" dxfId="66" priority="269" operator="containsText" text="COMPLETED">
      <formula>NOT(ISERROR(SEARCH("COMPLETED",I13)))</formula>
    </cfRule>
    <cfRule type="containsText" dxfId="65" priority="270" operator="containsText" text="NOT YET STARTED">
      <formula>NOT(ISERROR(SEARCH("NOT YET STARTED",I13)))</formula>
    </cfRule>
    <cfRule type="containsText" dxfId="64" priority="271" operator="containsText" text="IN PROGRESS">
      <formula>NOT(ISERROR(SEARCH("IN PROGRESS",I13)))</formula>
    </cfRule>
    <cfRule type="containsText" dxfId="63" priority="272" operator="containsText" text="HOLD">
      <formula>NOT(ISERROR(SEARCH("HOLD",I13)))</formula>
    </cfRule>
    <cfRule type="containsText" dxfId="62" priority="273" operator="containsText" text="COMPLETED">
      <formula>NOT(ISERROR(SEARCH("COMPLETED",I13)))</formula>
    </cfRule>
    <cfRule type="containsText" dxfId="61" priority="274" operator="containsText" text="NOT YET STARTED">
      <formula>NOT(ISERROR(SEARCH("NOT YET STARTED",I13)))</formula>
    </cfRule>
    <cfRule type="containsText" dxfId="60" priority="275" operator="containsText" text="IN PROGRESS">
      <formula>NOT(ISERROR(SEARCH("IN PROGRESS",I13)))</formula>
    </cfRule>
    <cfRule type="containsText" dxfId="59" priority="276" operator="containsText" text="HOLD">
      <formula>NOT(ISERROR(SEARCH("HOLD",I13)))</formula>
    </cfRule>
    <cfRule type="containsText" dxfId="58" priority="277" operator="containsText" text="COMPLETED">
      <formula>NOT(ISERROR(SEARCH("COMPLETED",I13)))</formula>
    </cfRule>
    <cfRule type="containsText" dxfId="57" priority="278" operator="containsText" text="NOT YET STARTED">
      <formula>NOT(ISERROR(SEARCH("NOT YET STARTED",I13)))</formula>
    </cfRule>
    <cfRule type="containsText" dxfId="56" priority="279" operator="containsText" text="IN PROGRESS">
      <formula>NOT(ISERROR(SEARCH("IN PROGRESS",I13)))</formula>
    </cfRule>
    <cfRule type="containsText" dxfId="55" priority="280" operator="containsText" text="HOLD">
      <formula>NOT(ISERROR(SEARCH("HOLD",I13)))</formula>
    </cfRule>
    <cfRule type="containsText" dxfId="54" priority="281" operator="containsText" text="COMPLETED">
      <formula>NOT(ISERROR(SEARCH("COMPLETED",I13)))</formula>
    </cfRule>
    <cfRule type="containsText" dxfId="53" priority="282" operator="containsText" text="NOT YET STARTED">
      <formula>NOT(ISERROR(SEARCH("NOT YET STARTED",I13)))</formula>
    </cfRule>
    <cfRule type="containsText" dxfId="52" priority="283" operator="containsText" text="IN PROGRESS">
      <formula>NOT(ISERROR(SEARCH("IN PROGRESS",I13)))</formula>
    </cfRule>
    <cfRule type="containsText" dxfId="51" priority="284" operator="containsText" text="HOLD">
      <formula>NOT(ISERROR(SEARCH("HOLD",I13)))</formula>
    </cfRule>
    <cfRule type="containsText" dxfId="50" priority="285" operator="containsText" text="COMPLETED">
      <formula>NOT(ISERROR(SEARCH("COMPLETED",I13)))</formula>
    </cfRule>
    <cfRule type="containsText" dxfId="49" priority="286" operator="containsText" text="NOT YET STARTED">
      <formula>NOT(ISERROR(SEARCH("NOT YET STARTED",I13)))</formula>
    </cfRule>
    <cfRule type="containsText" dxfId="48" priority="287" operator="containsText" text="IN PROGRESS">
      <formula>NOT(ISERROR(SEARCH("IN PROGRESS",I13)))</formula>
    </cfRule>
    <cfRule type="containsText" dxfId="47" priority="288" operator="containsText" text="HOLD">
      <formula>NOT(ISERROR(SEARCH("HOLD",I13)))</formula>
    </cfRule>
    <cfRule type="containsText" dxfId="46" priority="289" operator="containsText" text="COMPLETED">
      <formula>NOT(ISERROR(SEARCH("COMPLETED",I13)))</formula>
    </cfRule>
    <cfRule type="containsText" dxfId="45" priority="290" operator="containsText" text="NOT YET STARTED">
      <formula>NOT(ISERROR(SEARCH("NOT YET STARTED",I13)))</formula>
    </cfRule>
    <cfRule type="containsText" dxfId="44" priority="291" operator="containsText" text="IN PROGRESS">
      <formula>NOT(ISERROR(SEARCH("IN PROGRESS",I13)))</formula>
    </cfRule>
    <cfRule type="containsText" dxfId="43" priority="292" operator="containsText" text="HOLD">
      <formula>NOT(ISERROR(SEARCH("HOLD",I13)))</formula>
    </cfRule>
    <cfRule type="containsText" dxfId="42" priority="293" operator="containsText" text="COMPLETED">
      <formula>NOT(ISERROR(SEARCH("COMPLETED",I13)))</formula>
    </cfRule>
    <cfRule type="containsText" dxfId="41" priority="294" operator="containsText" text="NOT YET STARTED">
      <formula>NOT(ISERROR(SEARCH("NOT YET STARTED",I13)))</formula>
    </cfRule>
    <cfRule type="containsText" dxfId="40" priority="295" operator="containsText" text="IN PROGRESS">
      <formula>NOT(ISERROR(SEARCH("IN PROGRESS",I13)))</formula>
    </cfRule>
    <cfRule type="containsText" dxfId="39" priority="296" operator="containsText" text="HOLD">
      <formula>NOT(ISERROR(SEARCH("HOLD",I13)))</formula>
    </cfRule>
    <cfRule type="containsText" dxfId="38" priority="297" operator="containsText" text="COMPLETED">
      <formula>NOT(ISERROR(SEARCH("COMPLETED",I13)))</formula>
    </cfRule>
    <cfRule type="containsText" dxfId="37" priority="298" operator="containsText" text="NOT YET STARTED">
      <formula>NOT(ISERROR(SEARCH("NOT YET STARTED",I13)))</formula>
    </cfRule>
    <cfRule type="containsText" dxfId="36" priority="299" operator="containsText" text="IN PROGRESS">
      <formula>NOT(ISERROR(SEARCH("IN PROGRESS",I13)))</formula>
    </cfRule>
    <cfRule type="containsText" dxfId="35" priority="300" operator="containsText" text="COMPLETED">
      <formula>NOT(ISERROR(SEARCH("COMPLETED",I13)))</formula>
    </cfRule>
    <cfRule type="containsText" dxfId="34" priority="301" operator="containsText" text="NOT YET STARTED">
      <formula>NOT(ISERROR(SEARCH("NOT YET STARTED",I13)))</formula>
    </cfRule>
    <cfRule type="containsText" dxfId="33" priority="302" operator="containsText" text="IN PROGRESS">
      <formula>NOT(ISERROR(SEARCH("IN PROGRESS",I13)))</formula>
    </cfRule>
    <cfRule type="containsText" dxfId="32" priority="303" operator="containsText" text="HOLD">
      <formula>NOT(ISERROR(SEARCH("HOLD",I13)))</formula>
    </cfRule>
    <cfRule type="containsText" dxfId="31" priority="304" operator="containsText" text="COMPLETED">
      <formula>NOT(ISERROR(SEARCH("COMPLETED",I13)))</formula>
    </cfRule>
    <cfRule type="containsText" dxfId="30" priority="305" operator="containsText" text="NOT YET STARTED">
      <formula>NOT(ISERROR(SEARCH("NOT YET STARTED",I13)))</formula>
    </cfRule>
    <cfRule type="containsText" dxfId="29" priority="306" operator="containsText" text="IN PROGRESS">
      <formula>NOT(ISERROR(SEARCH("IN PROGRESS",I13)))</formula>
    </cfRule>
    <cfRule type="containsText" dxfId="28" priority="307" operator="containsText" text="HOLD">
      <formula>NOT(ISERROR(SEARCH("HOLD",I13)))</formula>
    </cfRule>
    <cfRule type="containsText" dxfId="27" priority="308" operator="containsText" text="COMPLETED">
      <formula>NOT(ISERROR(SEARCH("COMPLETED",I13)))</formula>
    </cfRule>
    <cfRule type="containsText" dxfId="26" priority="309" operator="containsText" text="NOT YET STARTED">
      <formula>NOT(ISERROR(SEARCH("NOT YET STARTED",I13)))</formula>
    </cfRule>
    <cfRule type="containsText" dxfId="25" priority="310" operator="containsText" text="IN PROGRESS">
      <formula>NOT(ISERROR(SEARCH("IN PROGRESS",I13)))</formula>
    </cfRule>
    <cfRule type="containsText" dxfId="24" priority="311" operator="containsText" text="HOLD">
      <formula>NOT(ISERROR(SEARCH("HOLD",I13)))</formula>
    </cfRule>
    <cfRule type="containsText" dxfId="23" priority="312" operator="containsText" text="COMPLETED">
      <formula>NOT(ISERROR(SEARCH("COMPLETED",I13)))</formula>
    </cfRule>
    <cfRule type="containsText" dxfId="22" priority="313" operator="containsText" text="NOT YET STARTED">
      <formula>NOT(ISERROR(SEARCH("NOT YET STARTED",I13)))</formula>
    </cfRule>
    <cfRule type="containsText" dxfId="21" priority="314" operator="containsText" text="IN PROGRESS">
      <formula>NOT(ISERROR(SEARCH("IN PROGRESS",I13)))</formula>
    </cfRule>
    <cfRule type="containsText" dxfId="20" priority="315" operator="containsText" text="HOLD">
      <formula>NOT(ISERROR(SEARCH("HOLD",I13)))</formula>
    </cfRule>
    <cfRule type="containsText" dxfId="19" priority="316" operator="containsText" text="COMPLETED">
      <formula>NOT(ISERROR(SEARCH("COMPLETED",I13)))</formula>
    </cfRule>
    <cfRule type="containsText" dxfId="18" priority="317" operator="containsText" text="NOT YET STARTED">
      <formula>NOT(ISERROR(SEARCH("NOT YET STARTED",I13)))</formula>
    </cfRule>
    <cfRule type="containsText" dxfId="17" priority="318" operator="containsText" text="IN PROGRESS">
      <formula>NOT(ISERROR(SEARCH("IN PROGRESS",I13)))</formula>
    </cfRule>
    <cfRule type="containsText" dxfId="16" priority="319" operator="containsText" text="HOLD">
      <formula>NOT(ISERROR(SEARCH("HOLD",I13)))</formula>
    </cfRule>
    <cfRule type="containsText" dxfId="15" priority="320" operator="containsText" text="COMPLETED">
      <formula>NOT(ISERROR(SEARCH("COMPLETED",I13)))</formula>
    </cfRule>
    <cfRule type="containsText" dxfId="14" priority="321" operator="containsText" text="NOT YET STARTED">
      <formula>NOT(ISERROR(SEARCH("NOT YET STARTED",I13)))</formula>
    </cfRule>
    <cfRule type="containsText" dxfId="13" priority="322" operator="containsText" text="IN PROGRESS">
      <formula>NOT(ISERROR(SEARCH("IN PROGRESS",I13)))</formula>
    </cfRule>
    <cfRule type="containsText" dxfId="12" priority="323" operator="containsText" text="HOLD">
      <formula>NOT(ISERROR(SEARCH("HOLD",I13)))</formula>
    </cfRule>
    <cfRule type="containsText" dxfId="11" priority="324" operator="containsText" text="COMPLETED">
      <formula>NOT(ISERROR(SEARCH("COMPLETED",I13)))</formula>
    </cfRule>
    <cfRule type="containsText" dxfId="10" priority="325" operator="containsText" text="NOT YET STARTED">
      <formula>NOT(ISERROR(SEARCH("NOT YET STARTED",I13)))</formula>
    </cfRule>
    <cfRule type="containsText" dxfId="9" priority="326" operator="containsText" text="IN PROGRESS">
      <formula>NOT(ISERROR(SEARCH("IN PROGRESS",I13)))</formula>
    </cfRule>
    <cfRule type="containsText" dxfId="8" priority="327" operator="containsText" text="HOLD">
      <formula>NOT(ISERROR(SEARCH("HOLD",I13)))</formula>
    </cfRule>
    <cfRule type="containsText" dxfId="7" priority="328" operator="containsText" text="COMPLETED">
      <formula>NOT(ISERROR(SEARCH("COMPLETED",I13)))</formula>
    </cfRule>
    <cfRule type="containsText" dxfId="6" priority="329" operator="containsText" text="NOT YET STARTED">
      <formula>NOT(ISERROR(SEARCH("NOT YET STARTED",I13)))</formula>
    </cfRule>
    <cfRule type="containsText" dxfId="5" priority="330" operator="containsText" text="IN PROGRESS">
      <formula>NOT(ISERROR(SEARCH("IN PROGRESS",I13)))</formula>
    </cfRule>
  </conditionalFormatting>
  <conditionalFormatting sqref="I13:I22">
    <cfRule type="containsText" dxfId="4" priority="331" operator="containsText" text="HOLD">
      <formula>NOT(ISERROR(SEARCH("HOLD",I13)))</formula>
    </cfRule>
    <cfRule type="containsText" dxfId="3" priority="332" operator="containsText" text="COMPLETED">
      <formula>NOT(ISERROR(SEARCH("COMPLETED",I13)))</formula>
    </cfRule>
    <cfRule type="containsText" dxfId="2" priority="333" operator="containsText" text="NOT YET STARTED">
      <formula>NOT(ISERROR(SEARCH("NOT YET STARTED",I13)))</formula>
    </cfRule>
    <cfRule type="containsText" dxfId="1" priority="334" operator="containsText" text="IN PROGRESS">
      <formula>NOT(ISERROR(SEARCH("IN PROGRESS",I13)))</formula>
    </cfRule>
  </conditionalFormatting>
  <conditionalFormatting sqref="I14:I22 I11">
    <cfRule type="containsText" dxfId="0" priority="339" operator="containsText" text="HOLD">
      <formula>NOT(ISERROR(SEARCH("HOLD",I11)))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PLANNING</vt:lpstr>
      <vt:lpstr>FOR 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MOULI RDS</dc:creator>
  <cp:lastModifiedBy>CHANDRA MOULI RDS</cp:lastModifiedBy>
  <dcterms:created xsi:type="dcterms:W3CDTF">2026-04-10T06:10:51Z</dcterms:created>
  <dcterms:modified xsi:type="dcterms:W3CDTF">2026-06-13T13:09:21Z</dcterms:modified>
</cp:coreProperties>
</file>