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DS\Downloads\"/>
    </mc:Choice>
  </mc:AlternateContent>
  <bookViews>
    <workbookView xWindow="0" yWindow="0" windowWidth="28800" windowHeight="12030" tabRatio="666" activeTab="1"/>
  </bookViews>
  <sheets>
    <sheet name="May 1st Week" sheetId="36" r:id="rId1"/>
    <sheet name="White Cap Work Schedule" sheetId="42" r:id="rId2"/>
  </sheets>
  <definedNames>
    <definedName name="_xlnm._FilterDatabase" localSheetId="0" hidden="1">'May 1st Week'!#REF!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6" i="36" l="1"/>
  <c r="G103" i="36"/>
  <c r="F103" i="36"/>
  <c r="F93" i="36"/>
  <c r="J93" i="36" s="1"/>
  <c r="G44" i="36"/>
  <c r="F44" i="36"/>
  <c r="J44" i="36" s="1"/>
  <c r="G23" i="36"/>
  <c r="F23" i="36"/>
  <c r="J23" i="36" l="1"/>
</calcChain>
</file>

<file path=xl/sharedStrings.xml><?xml version="1.0" encoding="utf-8"?>
<sst xmlns="http://schemas.openxmlformats.org/spreadsheetml/2006/main" count="1914" uniqueCount="552">
  <si>
    <t>Client</t>
  </si>
  <si>
    <t>Description</t>
  </si>
  <si>
    <t>Tonnage</t>
  </si>
  <si>
    <t>Hours</t>
  </si>
  <si>
    <t>Status</t>
  </si>
  <si>
    <t>Remarks</t>
  </si>
  <si>
    <t>S.no</t>
  </si>
  <si>
    <t>Date Range</t>
  </si>
  <si>
    <t>Work in hand</t>
  </si>
  <si>
    <t>Leaves</t>
  </si>
  <si>
    <t>Permissions</t>
  </si>
  <si>
    <t>Over Time</t>
  </si>
  <si>
    <t>Bar listing &amp; FFU drawings. (Non billable work)</t>
  </si>
  <si>
    <t>Chandra Mouli</t>
  </si>
  <si>
    <t>Nanaji</t>
  </si>
  <si>
    <t>Swathi</t>
  </si>
  <si>
    <t>Sridevi</t>
  </si>
  <si>
    <t>Eswar</t>
  </si>
  <si>
    <t>Total</t>
  </si>
  <si>
    <t>Engineers</t>
  </si>
  <si>
    <t>S.No</t>
  </si>
  <si>
    <t>Rebar @ Structural Steel</t>
  </si>
  <si>
    <t>Frist Week Weight+hours</t>
  </si>
  <si>
    <t xml:space="preserve">Second week Weight + hours </t>
  </si>
  <si>
    <t>Third week weight+hours</t>
  </si>
  <si>
    <t xml:space="preserve">Fourth week Weight + hours </t>
  </si>
  <si>
    <t>Projects &amp; Actives for Above dates</t>
  </si>
  <si>
    <t>Project name</t>
  </si>
  <si>
    <t>Jagadeesh</t>
  </si>
  <si>
    <t>Foundations</t>
  </si>
  <si>
    <t>Lokesh reddy</t>
  </si>
  <si>
    <t>Vaishnavi</t>
  </si>
  <si>
    <t>Kunal</t>
  </si>
  <si>
    <t>Praveena</t>
  </si>
  <si>
    <t>Sri lalitha</t>
  </si>
  <si>
    <t>Pradeep</t>
  </si>
  <si>
    <t xml:space="preserve"> Y Siva kumar</t>
  </si>
  <si>
    <t>CIP</t>
  </si>
  <si>
    <t>127 EL Bravo Way</t>
  </si>
  <si>
    <t>Cloyd</t>
  </si>
  <si>
    <t>Ackerman Residence</t>
  </si>
  <si>
    <t xml:space="preserve"> Projects &amp; Actives Planned to This week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</si>
  <si>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</si>
  <si>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</si>
  <si>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</si>
  <si>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</si>
  <si>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</si>
  <si>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</si>
  <si>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</si>
  <si>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Detaielrs</t>
  </si>
  <si>
    <t>Lokesh Reddy</t>
  </si>
  <si>
    <t>Anji Reddy</t>
  </si>
  <si>
    <t>Rebar Department Weekly Project Status Report-April 2026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</si>
  <si>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</si>
  <si>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</si>
  <si>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</si>
  <si>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</si>
  <si>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</si>
  <si>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</si>
  <si>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</si>
  <si>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</si>
  <si>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</si>
  <si>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</si>
  <si>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</si>
  <si>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</si>
  <si>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</si>
  <si>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</si>
  <si>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NAME</t>
  </si>
  <si>
    <t>SCOPE</t>
  </si>
  <si>
    <t>COMPONENTS OF WORK</t>
  </si>
  <si>
    <t>STATUS</t>
  </si>
  <si>
    <t>DET. WT.</t>
  </si>
  <si>
    <t>DETAILER</t>
  </si>
  <si>
    <t>CHECKER</t>
  </si>
  <si>
    <t>CIP&amp;CMU</t>
  </si>
  <si>
    <t>228 Rutland</t>
  </si>
  <si>
    <t>4669 S. Flagler Dr</t>
  </si>
  <si>
    <t>02-21-2026</t>
  </si>
  <si>
    <t>02-25-2026</t>
  </si>
  <si>
    <t>Cutler Bay SHS</t>
  </si>
  <si>
    <t>Felies Residence</t>
  </si>
  <si>
    <t>01-13-2026</t>
  </si>
  <si>
    <t>Harrison Residence</t>
  </si>
  <si>
    <t>01-27-2026</t>
  </si>
  <si>
    <t>Palmetto Lakes Industrial Park</t>
  </si>
  <si>
    <t>01-19-2026</t>
  </si>
  <si>
    <t>OLD PROJECTS MODIFICATIONS</t>
  </si>
  <si>
    <t>Totals</t>
  </si>
  <si>
    <t>Note: Submittal dates may change according to client request / RFI Clarification /Priorities</t>
  </si>
  <si>
    <t>White Cap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</si>
  <si>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</si>
  <si>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</si>
  <si>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</si>
  <si>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</si>
  <si>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</si>
  <si>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</si>
  <si>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</si>
  <si>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</si>
  <si>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</si>
  <si>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</si>
  <si>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</si>
  <si>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</si>
  <si>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</si>
  <si>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</si>
  <si>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</si>
  <si>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</si>
  <si>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</si>
  <si>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</si>
  <si>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</si>
  <si>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</si>
  <si>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</si>
  <si>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</si>
  <si>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</si>
  <si>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</si>
  <si>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</si>
  <si>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</si>
  <si>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</si>
  <si>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</si>
  <si>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</si>
  <si>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</si>
  <si>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</si>
  <si>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</si>
  <si>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</si>
  <si>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</si>
  <si>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</si>
  <si>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</si>
  <si>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</si>
  <si>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</si>
  <si>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</si>
  <si>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</si>
  <si>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</si>
  <si>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</si>
  <si>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</si>
  <si>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</si>
  <si>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</si>
  <si>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</si>
  <si>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</si>
  <si>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</si>
  <si>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</si>
  <si>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</si>
  <si>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</si>
  <si>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</si>
  <si>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</si>
  <si>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</si>
  <si>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</si>
  <si>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</si>
  <si>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</si>
  <si>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</si>
  <si>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</si>
  <si>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</si>
  <si>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</si>
  <si>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</si>
  <si>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Rds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</si>
  <si>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</si>
  <si>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</si>
  <si>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</si>
  <si>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</si>
  <si>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</si>
  <si>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</si>
  <si>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</si>
  <si>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</si>
  <si>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Lift - 1 Beams &amp; 2nd floor slab</t>
  </si>
  <si>
    <t>1050 N Lake way</t>
  </si>
  <si>
    <t>02-23-2026</t>
  </si>
  <si>
    <t>Lokesh Reddy/Nanaji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</si>
  <si>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</si>
  <si>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</si>
  <si>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</si>
  <si>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</si>
  <si>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</si>
  <si>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</si>
  <si>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</si>
  <si>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</si>
  <si>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</si>
  <si>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</si>
  <si>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</si>
  <si>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</si>
  <si>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</si>
  <si>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</si>
  <si>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</si>
  <si>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</si>
  <si>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</si>
  <si>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</si>
  <si>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</si>
  <si>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</si>
  <si>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</si>
  <si>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</si>
  <si>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</si>
  <si>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</si>
  <si>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</si>
  <si>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</si>
  <si>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</si>
  <si>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</si>
  <si>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</si>
  <si>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</si>
  <si>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</si>
  <si>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</si>
  <si>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</si>
  <si>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</si>
  <si>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</si>
  <si>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</si>
  <si>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</si>
  <si>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</si>
  <si>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</si>
  <si>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</si>
  <si>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</si>
  <si>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</si>
  <si>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</si>
  <si>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Lift - 1 Verticals, 2nd floor slab and beams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</si>
  <si>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</si>
  <si>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</si>
  <si>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</si>
  <si>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</si>
  <si>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</si>
  <si>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</si>
  <si>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 xml:space="preserve">Lift - 1 Verticals </t>
  </si>
  <si>
    <t>Project management</t>
  </si>
  <si>
    <t>Estimations and rebar detailing</t>
  </si>
  <si>
    <t>Rebar Detailing</t>
  </si>
  <si>
    <t>Rebar Detailing/QC</t>
  </si>
  <si>
    <t>05/04/2026 to 05/09/2026</t>
  </si>
  <si>
    <t>Sridivi/Nanaji</t>
  </si>
  <si>
    <t>Nanaji/pradeep</t>
  </si>
  <si>
    <t>1333 Bvld</t>
  </si>
  <si>
    <t>Barlists</t>
  </si>
  <si>
    <t>Shear walls and columns Barlists</t>
  </si>
  <si>
    <t>Slab on grade Barlists</t>
  </si>
  <si>
    <t>Foundations Barlists</t>
  </si>
  <si>
    <t>Lokesh</t>
  </si>
  <si>
    <t>Vaishnavi/Shiva</t>
  </si>
  <si>
    <t>Chandra Mouli/NNJ</t>
  </si>
  <si>
    <t>Emds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</si>
  <si>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</si>
  <si>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</si>
  <si>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</si>
  <si>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</si>
  <si>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</si>
  <si>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</si>
  <si>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</si>
  <si>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</si>
  <si>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</si>
  <si>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</si>
  <si>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>2nd Floor slab</t>
  </si>
  <si>
    <t>NANAJI</t>
  </si>
  <si>
    <t>Tennis &amp; Bocce Courts Restrooms</t>
  </si>
  <si>
    <t>Country inn Pet Resort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</si>
  <si>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</si>
  <si>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</si>
  <si>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</si>
  <si>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</si>
  <si>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</si>
  <si>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</si>
  <si>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</si>
  <si>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</si>
  <si>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</si>
  <si>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</si>
  <si>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</si>
  <si>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</si>
  <si>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</si>
  <si>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</si>
  <si>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</si>
  <si>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</si>
  <si>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</si>
  <si>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</si>
  <si>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</si>
  <si>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</si>
  <si>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</si>
  <si>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</si>
  <si>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</si>
  <si>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</si>
  <si>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</si>
  <si>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</si>
  <si>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</si>
  <si>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</si>
  <si>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</si>
  <si>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CIP &amp; CMU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</si>
  <si>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</si>
  <si>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</si>
  <si>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</si>
  <si>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</si>
  <si>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</si>
  <si>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</si>
  <si>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</si>
  <si>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ESWAR</t>
  </si>
  <si>
    <t>05-19-2026</t>
  </si>
  <si>
    <t>05-20-2026</t>
  </si>
  <si>
    <t>job canceled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</si>
  <si>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</si>
  <si>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</si>
  <si>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</si>
  <si>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</si>
  <si>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</si>
  <si>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</si>
  <si>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</si>
  <si>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</si>
  <si>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</si>
  <si>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</si>
  <si>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</si>
  <si>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</si>
  <si>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</si>
  <si>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</si>
  <si>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</si>
  <si>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</si>
  <si>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</si>
  <si>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</si>
  <si>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</si>
  <si>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</si>
  <si>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</si>
  <si>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</si>
  <si>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</si>
  <si>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</si>
  <si>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</si>
  <si>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</si>
  <si>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</si>
  <si>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</si>
  <si>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</si>
  <si>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</si>
  <si>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</si>
  <si>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</si>
  <si>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</si>
  <si>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</si>
  <si>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</si>
  <si>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</si>
  <si>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</si>
  <si>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</si>
  <si>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</si>
  <si>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</si>
  <si>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</si>
  <si>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</si>
  <si>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</si>
  <si>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</si>
  <si>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</si>
  <si>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</si>
  <si>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</si>
  <si>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</si>
  <si>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</si>
  <si>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</si>
  <si>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</si>
  <si>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</si>
  <si>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Revised drawings</t>
  </si>
  <si>
    <t>Revised drawings received on cmu verticals</t>
  </si>
  <si>
    <t>Patch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</si>
  <si>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</si>
  <si>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</si>
  <si>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</si>
  <si>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</si>
  <si>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</si>
  <si>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</si>
  <si>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</si>
  <si>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</si>
  <si>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</si>
  <si>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</si>
  <si>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</si>
  <si>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Updated drawings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</si>
  <si>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</si>
  <si>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</si>
  <si>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</si>
  <si>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</si>
  <si>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</si>
  <si>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</si>
  <si>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</si>
  <si>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</si>
  <si>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</si>
  <si>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</si>
  <si>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</si>
  <si>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</si>
  <si>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</si>
  <si>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</si>
  <si>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</si>
  <si>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</si>
  <si>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</si>
  <si>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</si>
  <si>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</si>
  <si>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</si>
  <si>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Lift - 2 verticals and bond beams</t>
  </si>
  <si>
    <t>Lift - 1 Verticals and beams (pour-3) &amp; (pour-4)</t>
  </si>
  <si>
    <t>Lift - 2 Verticals and beams (pour-2)</t>
  </si>
  <si>
    <t>Lift - 2 Verticals and beams (pour-1)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</si>
  <si>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</si>
  <si>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</si>
  <si>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</si>
  <si>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</si>
  <si>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</si>
  <si>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</si>
  <si>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</si>
  <si>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</si>
  <si>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</si>
  <si>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</si>
  <si>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</si>
  <si>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</si>
  <si>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</si>
  <si>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Lokesh Reddy/Siva kumar</t>
  </si>
  <si>
    <t>Eswar/Nanaji</t>
  </si>
  <si>
    <t>Cmu walls lift - 3 verticals</t>
  </si>
  <si>
    <t>Cmu walls lift - 4 verticals</t>
  </si>
  <si>
    <t>Cmu walls lift - 5 verticals</t>
  </si>
  <si>
    <t>Cmu walls lift - 6 verticals</t>
  </si>
  <si>
    <t>Cmu walls lift - 7 verticals</t>
  </si>
  <si>
    <t>Cmu walls lift - 8 verticals</t>
  </si>
  <si>
    <t>Cmu walls lift - 9 verticals</t>
  </si>
  <si>
    <t>Cmu walls lift - 10 verticals</t>
  </si>
  <si>
    <t>Cmu walls lift - 11 verticals</t>
  </si>
  <si>
    <t>Cmu walls lift - 12 verticals</t>
  </si>
  <si>
    <t>Cmu walls lift - 13 verticals</t>
  </si>
  <si>
    <t>Cmu walls lift - 14 verticals</t>
  </si>
  <si>
    <t>Cmu walls lift - 15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</si>
  <si>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</si>
  <si>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</si>
  <si>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</si>
  <si>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</si>
  <si>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</si>
  <si>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</si>
  <si>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</si>
  <si>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</si>
  <si>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</si>
  <si>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</si>
  <si>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</si>
  <si>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06-20-2026</t>
  </si>
  <si>
    <t>The Bueller family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</si>
  <si>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</si>
  <si>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</si>
  <si>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</si>
  <si>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</si>
  <si>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</si>
  <si>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</si>
  <si>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</si>
  <si>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</si>
  <si>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</si>
  <si>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>128 Worth CT N</t>
  </si>
  <si>
    <t>2235 Mangolia Drive</t>
  </si>
  <si>
    <t>Lift - 1 verticals, beams and 2nd floor slab</t>
  </si>
  <si>
    <t>Lift - 2 verticals and roof beams</t>
  </si>
  <si>
    <t>siva kumar/sridevi</t>
  </si>
  <si>
    <t>Lokesh reddy/Sridevi</t>
  </si>
  <si>
    <t>Shear walls (Residential)  lift - 1 to Roof verticals</t>
  </si>
  <si>
    <t>Columns (Residential) lift - 1 to Roof verticals</t>
  </si>
  <si>
    <t>3rd floor slab and beams</t>
  </si>
  <si>
    <t>Lift - 3 verticals and beams</t>
  </si>
  <si>
    <t>4th floor slab and beams</t>
  </si>
  <si>
    <t>Lift - 4 verticals and beams</t>
  </si>
  <si>
    <t>Roof slas, beams &amp; parapet walls</t>
  </si>
  <si>
    <t>501 Diplomat - Porte Cochere</t>
  </si>
  <si>
    <t>270 Celestial Way</t>
  </si>
  <si>
    <t>Zen Elite Equestrian Center</t>
  </si>
  <si>
    <t>Slab and beams</t>
  </si>
  <si>
    <t>Lalitha</t>
  </si>
  <si>
    <t>Belle Meade Residence</t>
  </si>
  <si>
    <t>The Duhl Residence</t>
  </si>
  <si>
    <t>1105 Northlake Way</t>
  </si>
  <si>
    <t>Miller Residence</t>
  </si>
  <si>
    <t>07-13-2026</t>
  </si>
  <si>
    <t>Cabana Columns &amp; Beams</t>
  </si>
  <si>
    <t>07-14-2026</t>
  </si>
  <si>
    <t>Arrigo Residence</t>
  </si>
  <si>
    <t>Pool house foundations &amp; slab on grade</t>
  </si>
  <si>
    <t>Lift - 1 Verticals and roof beams</t>
  </si>
  <si>
    <t>07-31-2026</t>
  </si>
  <si>
    <t>Mdag Miami Dad Spot Lots</t>
  </si>
  <si>
    <t>Lift - 1  Verticals and beams</t>
  </si>
  <si>
    <t>08-25-2026</t>
  </si>
  <si>
    <t>New Luse Residence (9401  Residence)</t>
  </si>
  <si>
    <t>Riopelle Residence</t>
  </si>
  <si>
    <t>Coy Residence</t>
  </si>
  <si>
    <t>Garage Building</t>
  </si>
  <si>
    <t>Main Building</t>
  </si>
  <si>
    <t>Lift - 1 Verticals beams</t>
  </si>
  <si>
    <t>Lift -1 Verticals and roof beams</t>
  </si>
  <si>
    <t>Site walls</t>
  </si>
  <si>
    <t>07-21-2026</t>
  </si>
  <si>
    <t>07-28-2026</t>
  </si>
  <si>
    <t>Dolce Residence</t>
  </si>
  <si>
    <t>Out source (kumaran)</t>
  </si>
  <si>
    <t>Out Source (Kumaran)</t>
  </si>
  <si>
    <t>Residential Duplex</t>
  </si>
  <si>
    <t>Gensis (Scattered Lots)</t>
  </si>
  <si>
    <t>07-23-2026</t>
  </si>
  <si>
    <t>Columns, Cmu walls, tie beams &amp; concrete caps</t>
  </si>
  <si>
    <t>Roof slab</t>
  </si>
  <si>
    <t>Cmu walls lift - 1 verticals</t>
  </si>
  <si>
    <t>07-27-2026</t>
  </si>
  <si>
    <t>07-29-2026</t>
  </si>
  <si>
    <t>08-14-2026</t>
  </si>
  <si>
    <t>1042 Palm Way rd NPB Pinsonnault Residence</t>
  </si>
  <si>
    <t>08-17-2026</t>
  </si>
  <si>
    <t>Foundations, Verticals&amp;beams</t>
  </si>
  <si>
    <t>08-18-2026</t>
  </si>
  <si>
    <t>08-21-2026</t>
  </si>
  <si>
    <t>08-28-2026</t>
  </si>
  <si>
    <t>Cmu walls lift - 2 verticals</t>
  </si>
  <si>
    <t>Gust house Foundations &amp; slab on grade</t>
  </si>
  <si>
    <t>Verticals and beams</t>
  </si>
  <si>
    <t>Lift - 2 verticals, High Roof Deck slab and Roof beams</t>
  </si>
  <si>
    <t>225 Ne 22nd ST (New Custom Residence)</t>
  </si>
  <si>
    <t>CUSTOM 2 STORY (404 MARINER DRIVE)</t>
  </si>
  <si>
    <t>133 Seville Rd</t>
  </si>
  <si>
    <t>08-27-2026</t>
  </si>
  <si>
    <t>Dietrich (243 Sunset Road)</t>
  </si>
  <si>
    <t>2nd floor beams</t>
  </si>
  <si>
    <t>NUVO</t>
  </si>
  <si>
    <t>BLDG TYPE 3 FOUNDATIONS, SOG. &amp; LIFT-1 VERTICALS</t>
  </si>
  <si>
    <t>08-24-2026</t>
  </si>
  <si>
    <t>Lift - 1 beams</t>
  </si>
  <si>
    <t>08-22-2026</t>
  </si>
  <si>
    <t>Dinesh/Nanaji</t>
  </si>
  <si>
    <t>Pavan sai/Eswar</t>
  </si>
  <si>
    <t>Nikitha/Eswar</t>
  </si>
  <si>
    <t>09-18-2026</t>
  </si>
  <si>
    <t>09-25-2026</t>
  </si>
  <si>
    <t>09-.31-2026</t>
  </si>
  <si>
    <t>10-.04-2026</t>
  </si>
  <si>
    <t>10-.11-2026</t>
  </si>
  <si>
    <t>10-.18-2026</t>
  </si>
  <si>
    <t>10-.25-2026</t>
  </si>
  <si>
    <t>Lift-2 verticals &amp; LOW ROOF SLAB &amp; BEAMS</t>
  </si>
  <si>
    <t>143 Reef Rd</t>
  </si>
  <si>
    <t>Barlists &amp; ae comments</t>
  </si>
  <si>
    <t>site walls</t>
  </si>
  <si>
    <t>SANDS RESIDENCE (3223 N.Ocean Blvd.)</t>
  </si>
  <si>
    <t>Site Elements</t>
  </si>
  <si>
    <t>4th floor to above roof</t>
  </si>
  <si>
    <t>sog</t>
  </si>
  <si>
    <t>SCHWARTZ RESIDENCE</t>
  </si>
  <si>
    <t>2nd floor slab</t>
  </si>
  <si>
    <t>2721 Sea island Drive</t>
  </si>
  <si>
    <t>08-31-2026</t>
  </si>
  <si>
    <t>Lift - 2 Verticals &amp; Beams</t>
  </si>
  <si>
    <t>Roof slab and beams</t>
  </si>
  <si>
    <t>Jordan &amp; Gaby's house (9345 sw 144th street)</t>
  </si>
  <si>
    <t>Site work Scope added</t>
  </si>
  <si>
    <t>Lift - 1 verticals, 2Nd Floor Slab &amp; Beams</t>
  </si>
  <si>
    <t>08-26-2026</t>
  </si>
  <si>
    <t>lift-1 verticals, 2nd floor slab &amp; beams (patch list)</t>
  </si>
  <si>
    <t>Akel Residence</t>
  </si>
  <si>
    <t>ONE BROADWAY BUILD BACK</t>
  </si>
  <si>
    <t>stairs 6a</t>
  </si>
  <si>
    <t>lift-2 verticals, 2nd floor beams</t>
  </si>
  <si>
    <t>08-29-2026</t>
  </si>
  <si>
    <t>Main building Foundations &amp; Slab on grade</t>
  </si>
  <si>
    <t>slab on grade</t>
  </si>
  <si>
    <t>Equipment pads</t>
  </si>
  <si>
    <t>lift-2 verticals, 2nd floor Slab &amp; beams</t>
  </si>
  <si>
    <t>Garage Type 1 &amp; 2</t>
  </si>
  <si>
    <t>Bldg Type 3 Lift-2 Verticals</t>
  </si>
  <si>
    <t>Bldg Type 3 Lift-1  Verticals</t>
  </si>
  <si>
    <t>Bldg Type 3 4th Floor to Roof</t>
  </si>
  <si>
    <t>Lift-1 verticals</t>
  </si>
  <si>
    <t>section #4 slab on grade</t>
  </si>
  <si>
    <t>SOG</t>
  </si>
  <si>
    <t>Additional work</t>
  </si>
  <si>
    <t>Stair</t>
  </si>
  <si>
    <t>ENTERPRISE. 4424 GARDEN POINT TRAIL</t>
  </si>
  <si>
    <t>Lift - 1 Verticals &amp; 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</si>
</sst>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9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8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0"/>
      <name val="Calibri"/>
      <family val="2"/>
      <charset val="1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12" applyNumberFormat="0" applyFill="0" applyAlignment="0" applyProtection="0"/>
    <xf numFmtId="0" fontId="5" fillId="0" borderId="1"/>
  </cellStyleXfs>
  <cellXfs count="1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6" borderId="14" xfId="1" applyFill="1" applyBorder="1" applyAlignment="1">
      <alignment horizontal="center"/>
    </xf>
    <xf numFmtId="0" fontId="4" fillId="6" borderId="14" xfId="1" applyFill="1" applyBorder="1"/>
    <xf numFmtId="0" fontId="4" fillId="6" borderId="15" xfId="1" applyFill="1" applyBorder="1" applyAlignment="1">
      <alignment horizontal="center"/>
    </xf>
    <xf numFmtId="0" fontId="4" fillId="6" borderId="16" xfId="1" applyFill="1" applyBorder="1" applyAlignment="1">
      <alignment horizontal="center" vertical="center"/>
    </xf>
    <xf numFmtId="0" fontId="4" fillId="6" borderId="17" xfId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/>
    <xf numFmtId="0" fontId="0" fillId="0" borderId="19" xfId="0" applyBorder="1" applyAlignment="1">
      <alignment horizontal="center" vertical="center"/>
    </xf>
    <xf numFmtId="0" fontId="4" fillId="6" borderId="14" xfId="1" applyFill="1" applyBorder="1" applyAlignment="1"/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 wrapText="1"/>
    </xf>
    <xf numFmtId="0" fontId="12" fillId="9" borderId="29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/>
    </xf>
    <xf numFmtId="0" fontId="12" fillId="9" borderId="30" xfId="0" applyFont="1" applyFill="1" applyBorder="1" applyAlignment="1">
      <alignment horizontal="center" vertical="center" wrapText="1"/>
    </xf>
    <xf numFmtId="14" fontId="12" fillId="9" borderId="30" xfId="0" applyNumberFormat="1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left" vertical="center"/>
    </xf>
    <xf numFmtId="0" fontId="12" fillId="9" borderId="5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center" vertical="center" wrapText="1"/>
    </xf>
    <xf numFmtId="49" fontId="12" fillId="9" borderId="5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11" borderId="21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4" fontId="10" fillId="9" borderId="1" xfId="0" applyNumberFormat="1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49" fontId="7" fillId="9" borderId="21" xfId="0" applyNumberFormat="1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left" vertical="center"/>
    </xf>
    <xf numFmtId="0" fontId="10" fillId="9" borderId="18" xfId="0" applyFont="1" applyFill="1" applyBorder="1" applyAlignment="1">
      <alignment horizontal="left" vertical="center"/>
    </xf>
    <xf numFmtId="14" fontId="10" fillId="9" borderId="18" xfId="0" applyNumberFormat="1" applyFont="1" applyFill="1" applyBorder="1" applyAlignment="1">
      <alignment horizontal="center" vertical="center"/>
    </xf>
    <xf numFmtId="14" fontId="10" fillId="9" borderId="18" xfId="0" applyNumberFormat="1" applyFont="1" applyFill="1" applyBorder="1" applyAlignment="1">
      <alignment horizontal="center" vertical="center" wrapText="1"/>
    </xf>
    <xf numFmtId="14" fontId="7" fillId="9" borderId="18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8" borderId="18" xfId="0" applyFont="1" applyFill="1" applyBorder="1" applyAlignment="1">
      <alignment horizontal="left" vertical="center"/>
    </xf>
    <xf numFmtId="14" fontId="7" fillId="10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14" fontId="9" fillId="10" borderId="18" xfId="0" applyNumberFormat="1" applyFont="1" applyFill="1" applyBorder="1" applyAlignment="1">
      <alignment horizontal="center" vertical="center"/>
    </xf>
    <xf numFmtId="14" fontId="13" fillId="10" borderId="1" xfId="0" applyNumberFormat="1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left" vertical="center"/>
    </xf>
    <xf numFmtId="49" fontId="10" fillId="12" borderId="18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8" borderId="27" xfId="0" applyFont="1" applyFill="1" applyBorder="1" applyAlignment="1">
      <alignment horizontal="left" vertical="center"/>
    </xf>
    <xf numFmtId="14" fontId="7" fillId="10" borderId="27" xfId="0" applyNumberFormat="1" applyFont="1" applyFill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left" vertical="center"/>
    </xf>
    <xf numFmtId="49" fontId="7" fillId="9" borderId="27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4" fontId="15" fillId="14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14" fontId="15" fillId="10" borderId="1" xfId="0" applyNumberFormat="1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0" fontId="15" fillId="8" borderId="18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165" fontId="17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/>
    </xf>
    <xf numFmtId="49" fontId="18" fillId="0" borderId="27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left" vertical="center"/>
    </xf>
    <xf numFmtId="14" fontId="18" fillId="10" borderId="19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49" fontId="18" fillId="11" borderId="35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4" fontId="13" fillId="10" borderId="27" xfId="0" applyNumberFormat="1" applyFont="1" applyFill="1" applyBorder="1" applyAlignment="1">
      <alignment horizontal="center" vertical="center"/>
    </xf>
    <xf numFmtId="14" fontId="18" fillId="10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9" xfId="0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6" borderId="13" xfId="1" applyFill="1" applyBorder="1" applyAlignment="1">
      <alignment horizontal="center"/>
    </xf>
    <xf numFmtId="0" fontId="4" fillId="6" borderId="14" xfId="1" applyFill="1" applyBorder="1" applyAlignment="1">
      <alignment horizontal="center"/>
    </xf>
    <xf numFmtId="0" fontId="4" fillId="6" borderId="20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6" borderId="34" xfId="1" applyFill="1" applyBorder="1" applyAlignment="1">
      <alignment horizontal="center"/>
    </xf>
    <xf numFmtId="0" fontId="4" fillId="6" borderId="20" xfId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</cellXfs>
  <cellStyles count="3">
    <cellStyle name="Normal" xfId="0" builtinId="0"/>
    <cellStyle name="Style 1" xfId="2"/>
    <cellStyle name="Total" xfId="1" builtinId="25"/>
  </cellStyles>
  <dxfs count="294"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tuart_Bldg." displayName="Stuart_Bldg." ref="A2:I559" totalsRowShown="0" headerRowDxfId="293" dataDxfId="291" headerRowBorderDxfId="292" tableBorderDxfId="290">
  <autoFilter ref="A2:I559"/>
  <tableColumns count="9">
    <tableColumn id="1" name="S.No" dataDxfId="289"/>
    <tableColumn id="2" name="PROJECT NAME" dataDxfId="288"/>
    <tableColumn id="3" name="SCOPE" dataDxfId="287"/>
    <tableColumn id="4" name="COMPONENTS OF WORK" dataDxfId="286"/>
    <tableColumn id="6" name="STATUS" dataDxfId="285"/>
    <tableColumn id="7" name="CLIENT SUB. DATE" dataDxfId="284"/>
    <tableColumn id="10" name="DET. WT." dataDxfId="283"/>
    <tableColumn id="13" name="DETAILER" dataDxfId="282"/>
    <tableColumn id="14" name="CHECKER" dataDxfId="28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R117"/>
  <sheetViews>
    <sheetView zoomScaleNormal="100" workbookViewId="0">
      <selection activeCell="I87" sqref="I87"/>
    </sheetView>
  </sheetViews>
  <sheetFormatPr defaultRowHeight="15" outlineLevelRow="1" x14ac:dyDescent="0.25"/>
  <cols>
    <col min="2" max="2" width="6.28515625" customWidth="1"/>
    <col min="3" max="3" width="12.7109375" customWidth="1"/>
    <col min="4" max="4" width="27.85546875" customWidth="1"/>
    <col min="5" max="5" width="43.7109375" bestFit="1" customWidth="1"/>
    <col min="6" max="6" width="11.5703125" customWidth="1"/>
    <col min="7" max="7" width="11.85546875" bestFit="1" customWidth="1"/>
    <col min="8" max="8" width="11.28515625" customWidth="1"/>
    <col min="9" max="9" width="64.140625" bestFit="1" customWidth="1"/>
    <col min="10" max="10" width="0" hidden="1" customWidth="1"/>
    <col min="11" max="11" width="20.140625" bestFit="1" customWidth="1"/>
    <col min="12" max="12" width="15.28515625" bestFit="1" customWidth="1"/>
    <col min="13" max="13" width="8.140625" bestFit="1" customWidth="1"/>
    <col min="14" max="14" width="13.5703125" bestFit="1" customWidth="1"/>
    <col min="15" max="15" width="11.85546875" bestFit="1" customWidth="1"/>
  </cols>
  <sheetData>
    <row r="4" spans="2:18" ht="15.75" thickBot="1" x14ac:dyDescent="0.3"/>
    <row r="5" spans="2:18" ht="18.75" x14ac:dyDescent="0.25">
      <c r="B5" s="121" t="s">
        <v>52</v>
      </c>
      <c r="C5" s="122"/>
      <c r="D5" s="122"/>
      <c r="E5" s="122"/>
      <c r="F5" s="122"/>
      <c r="G5" s="122"/>
      <c r="H5" s="122"/>
      <c r="I5" s="123"/>
    </row>
    <row r="6" spans="2:18" ht="15.75" x14ac:dyDescent="0.25">
      <c r="B6" s="124" t="s">
        <v>7</v>
      </c>
      <c r="C6" s="125"/>
      <c r="D6" s="126" t="s">
        <v>220</v>
      </c>
      <c r="E6" s="126"/>
      <c r="F6" s="126"/>
      <c r="G6" s="126"/>
      <c r="H6" s="126"/>
      <c r="I6" s="127"/>
    </row>
    <row r="7" spans="2:18" ht="17.25" x14ac:dyDescent="0.25">
      <c r="B7" s="128" t="s">
        <v>26</v>
      </c>
      <c r="C7" s="129"/>
      <c r="D7" s="129"/>
      <c r="E7" s="129"/>
      <c r="F7" s="129"/>
      <c r="G7" s="129"/>
      <c r="H7" s="129"/>
      <c r="I7" s="130"/>
    </row>
    <row r="8" spans="2:18" ht="17.25" x14ac:dyDescent="0.3">
      <c r="B8" s="5" t="s">
        <v>6</v>
      </c>
      <c r="C8" s="5" t="s">
        <v>0</v>
      </c>
      <c r="D8" s="5" t="s">
        <v>27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K8" s="27" t="s">
        <v>49</v>
      </c>
      <c r="R8" s="4"/>
    </row>
    <row r="9" spans="2:18" ht="15" customHeight="1" x14ac:dyDescent="0.25">
      <c r="B9" s="8">
        <v>1</v>
      </c>
      <c r="C9" s="1"/>
      <c r="D9" s="25"/>
      <c r="E9" s="20"/>
      <c r="F9" s="2"/>
      <c r="G9" s="2"/>
      <c r="H9" s="17"/>
      <c r="I9" s="17"/>
    </row>
    <row r="10" spans="2:18" ht="15" customHeight="1" x14ac:dyDescent="0.25">
      <c r="B10" s="8">
        <v>2</v>
      </c>
      <c r="C10" s="1"/>
      <c r="D10" s="25"/>
      <c r="E10" s="23"/>
      <c r="F10" s="2"/>
      <c r="G10" s="2"/>
      <c r="H10" s="17"/>
      <c r="I10" s="17"/>
    </row>
    <row r="11" spans="2:18" ht="15" customHeight="1" x14ac:dyDescent="0.25">
      <c r="B11" s="8">
        <v>3</v>
      </c>
      <c r="C11" s="1"/>
      <c r="D11" s="25"/>
      <c r="E11" s="20"/>
      <c r="F11" s="2"/>
      <c r="G11" s="2"/>
      <c r="H11" s="17"/>
      <c r="I11" s="17"/>
    </row>
    <row r="12" spans="2:18" ht="15" customHeight="1" x14ac:dyDescent="0.25">
      <c r="B12" s="8">
        <v>4</v>
      </c>
      <c r="C12" s="20"/>
      <c r="D12" s="26"/>
      <c r="E12" s="21"/>
      <c r="F12" s="2"/>
      <c r="G12" s="2"/>
      <c r="H12" s="1"/>
      <c r="I12" s="1"/>
    </row>
    <row r="13" spans="2:18" ht="15" customHeight="1" x14ac:dyDescent="0.25">
      <c r="B13" s="8">
        <v>5</v>
      </c>
      <c r="C13" s="20"/>
      <c r="D13" s="26"/>
      <c r="E13" s="21"/>
      <c r="F13" s="2"/>
      <c r="G13" s="2"/>
      <c r="H13" s="17"/>
      <c r="I13" s="17"/>
    </row>
    <row r="14" spans="2:18" ht="15" customHeight="1" x14ac:dyDescent="0.25">
      <c r="B14" s="8"/>
      <c r="C14" s="20"/>
      <c r="D14" s="26"/>
      <c r="E14" s="21"/>
      <c r="F14" s="2"/>
      <c r="G14" s="2"/>
      <c r="H14" s="17"/>
      <c r="I14" s="17"/>
    </row>
    <row r="15" spans="2:18" ht="15" customHeight="1" x14ac:dyDescent="0.25">
      <c r="B15" s="8"/>
      <c r="C15" s="20"/>
      <c r="D15" s="26"/>
      <c r="E15" s="21"/>
      <c r="F15" s="2"/>
      <c r="G15" s="2"/>
      <c r="H15" s="17"/>
      <c r="I15" s="17"/>
    </row>
    <row r="16" spans="2:18" ht="15" customHeight="1" x14ac:dyDescent="0.25">
      <c r="B16" s="8"/>
      <c r="C16" s="1"/>
      <c r="D16" s="26"/>
      <c r="E16" s="23"/>
      <c r="F16" s="2"/>
      <c r="G16" s="2"/>
      <c r="H16" s="17"/>
      <c r="I16" s="1"/>
    </row>
    <row r="17" spans="2:10" ht="15" customHeight="1" x14ac:dyDescent="0.25">
      <c r="B17" s="8"/>
      <c r="C17" s="1"/>
      <c r="D17" s="20"/>
      <c r="E17" s="23"/>
      <c r="F17" s="2"/>
      <c r="G17" s="2"/>
      <c r="H17" s="1"/>
      <c r="I17" s="1"/>
    </row>
    <row r="18" spans="2:10" ht="15" customHeight="1" x14ac:dyDescent="0.25">
      <c r="B18" s="8"/>
      <c r="C18" s="20"/>
      <c r="D18" s="20"/>
      <c r="E18" s="21"/>
      <c r="F18" s="2"/>
      <c r="G18" s="2"/>
      <c r="H18" s="17"/>
      <c r="I18" s="1"/>
    </row>
    <row r="19" spans="2:10" ht="15" customHeight="1" x14ac:dyDescent="0.25">
      <c r="B19" s="8"/>
      <c r="C19" s="1"/>
      <c r="D19" s="20"/>
      <c r="E19" s="21"/>
      <c r="F19" s="2"/>
      <c r="G19" s="2"/>
      <c r="H19" s="1"/>
      <c r="I19" s="1"/>
    </row>
    <row r="20" spans="2:10" ht="15" customHeight="1" x14ac:dyDescent="0.25">
      <c r="B20" s="8"/>
      <c r="C20" s="23"/>
      <c r="D20" s="1"/>
      <c r="E20" s="23"/>
      <c r="F20" s="2"/>
      <c r="G20" s="2"/>
      <c r="H20" s="17"/>
      <c r="I20" s="17"/>
    </row>
    <row r="21" spans="2:10" ht="15" customHeight="1" x14ac:dyDescent="0.25">
      <c r="B21" s="8"/>
      <c r="C21" s="1"/>
      <c r="D21" s="1"/>
      <c r="E21" s="23"/>
      <c r="F21" s="2"/>
      <c r="G21" s="2"/>
      <c r="H21" s="17"/>
      <c r="I21" s="17"/>
    </row>
    <row r="22" spans="2:10" ht="15" customHeight="1" x14ac:dyDescent="0.25">
      <c r="B22" s="8"/>
      <c r="C22" s="1"/>
      <c r="D22" s="20"/>
      <c r="E22" s="23"/>
      <c r="F22" s="2"/>
      <c r="G22" s="2"/>
      <c r="H22" s="17"/>
      <c r="I22" s="17"/>
    </row>
    <row r="23" spans="2:10" ht="15" customHeight="1" x14ac:dyDescent="0.25">
      <c r="B23" s="131" t="s">
        <v>18</v>
      </c>
      <c r="C23" s="131"/>
      <c r="D23" s="131"/>
      <c r="E23" s="131"/>
      <c r="F23" s="6">
        <f>SUM(F9:F22)</f>
        <v>0</v>
      </c>
      <c r="G23" s="6">
        <f>SUM(G9:G22)</f>
        <v>0</v>
      </c>
      <c r="H23" s="132"/>
      <c r="I23" s="133"/>
      <c r="J23">
        <f>F23+G23</f>
        <v>0</v>
      </c>
    </row>
    <row r="24" spans="2:10" ht="15" customHeight="1" x14ac:dyDescent="0.3">
      <c r="B24" s="134" t="s">
        <v>41</v>
      </c>
      <c r="C24" s="135"/>
      <c r="D24" s="135"/>
      <c r="E24" s="135"/>
      <c r="F24" s="135"/>
      <c r="G24" s="135"/>
      <c r="H24" s="135"/>
      <c r="I24" s="136"/>
    </row>
    <row r="25" spans="2:10" ht="15" customHeight="1" x14ac:dyDescent="0.25">
      <c r="B25" s="8"/>
      <c r="C25" s="1"/>
      <c r="D25" s="25"/>
      <c r="E25" s="20"/>
      <c r="F25" s="2"/>
      <c r="G25" s="2"/>
      <c r="H25" s="17"/>
      <c r="I25" s="17"/>
    </row>
    <row r="26" spans="2:10" ht="15" customHeight="1" x14ac:dyDescent="0.25">
      <c r="B26" s="8"/>
      <c r="C26" s="1"/>
      <c r="D26" s="25"/>
      <c r="E26" s="20"/>
      <c r="F26" s="2"/>
      <c r="G26" s="2"/>
      <c r="H26" s="17"/>
      <c r="I26" s="17"/>
    </row>
    <row r="27" spans="2:10" ht="15" customHeight="1" x14ac:dyDescent="0.25">
      <c r="B27" s="8"/>
      <c r="C27" s="1"/>
      <c r="D27" s="25"/>
      <c r="E27" s="20"/>
      <c r="F27" s="2"/>
      <c r="G27" s="2"/>
      <c r="H27" s="17"/>
      <c r="I27" s="17"/>
    </row>
    <row r="28" spans="2:10" ht="15" customHeight="1" x14ac:dyDescent="0.25">
      <c r="B28" s="8"/>
      <c r="C28" s="1"/>
      <c r="D28" s="25"/>
      <c r="E28" s="20"/>
      <c r="F28" s="2"/>
      <c r="G28" s="2"/>
      <c r="H28" s="17"/>
      <c r="I28" s="17"/>
    </row>
    <row r="29" spans="2:10" ht="15" customHeight="1" x14ac:dyDescent="0.25">
      <c r="B29" s="8"/>
      <c r="C29" s="20"/>
      <c r="D29" s="26"/>
      <c r="E29" s="21"/>
      <c r="F29" s="2"/>
      <c r="G29" s="2"/>
      <c r="H29" s="1"/>
      <c r="I29" s="1"/>
    </row>
    <row r="30" spans="2:10" ht="15" customHeight="1" x14ac:dyDescent="0.25">
      <c r="B30" s="8"/>
      <c r="C30" s="20"/>
      <c r="D30" s="26"/>
      <c r="E30" s="21"/>
      <c r="F30" s="2"/>
      <c r="G30" s="2"/>
      <c r="H30" s="17"/>
      <c r="I30" s="17"/>
    </row>
    <row r="31" spans="2:10" ht="15" customHeight="1" x14ac:dyDescent="0.25">
      <c r="B31" s="8"/>
      <c r="C31" s="20"/>
      <c r="D31" s="26"/>
      <c r="E31" s="21"/>
      <c r="F31" s="2"/>
      <c r="G31" s="2"/>
      <c r="H31" s="17"/>
      <c r="I31" s="17"/>
    </row>
    <row r="32" spans="2:10" ht="15" customHeight="1" x14ac:dyDescent="0.25">
      <c r="B32" s="8"/>
      <c r="C32" s="1"/>
      <c r="D32" s="23"/>
      <c r="E32" s="20"/>
      <c r="F32" s="2"/>
      <c r="G32" s="2"/>
      <c r="H32" s="1"/>
      <c r="I32" s="1"/>
    </row>
    <row r="33" spans="2:10" ht="15" customHeight="1" x14ac:dyDescent="0.25">
      <c r="B33" s="8"/>
      <c r="C33" s="1"/>
      <c r="D33" s="20"/>
      <c r="E33" s="20"/>
      <c r="F33" s="2"/>
      <c r="G33" s="2"/>
      <c r="H33" s="1"/>
      <c r="I33" s="1"/>
    </row>
    <row r="34" spans="2:10" ht="15" customHeight="1" x14ac:dyDescent="0.25">
      <c r="B34" s="8"/>
      <c r="C34" s="1"/>
      <c r="D34" s="20"/>
      <c r="E34" s="21"/>
      <c r="F34" s="2"/>
      <c r="G34" s="2"/>
      <c r="H34" s="1"/>
      <c r="I34" s="1"/>
    </row>
    <row r="35" spans="2:10" ht="15" customHeight="1" x14ac:dyDescent="0.25">
      <c r="B35" s="8"/>
      <c r="C35" s="1"/>
      <c r="D35" s="23"/>
      <c r="E35" s="20"/>
      <c r="F35" s="2"/>
      <c r="G35" s="2"/>
      <c r="H35" s="1"/>
      <c r="I35" s="1"/>
    </row>
    <row r="36" spans="2:10" ht="15" customHeight="1" x14ac:dyDescent="0.25">
      <c r="B36" s="8"/>
      <c r="C36" s="1"/>
      <c r="D36" s="20"/>
      <c r="E36" s="20"/>
      <c r="F36" s="2"/>
      <c r="G36" s="2"/>
      <c r="H36" s="17"/>
      <c r="I36" s="1"/>
    </row>
    <row r="37" spans="2:10" ht="15" customHeight="1" x14ac:dyDescent="0.25">
      <c r="B37" s="8"/>
      <c r="C37" s="20"/>
      <c r="D37" s="26"/>
      <c r="E37" s="21"/>
      <c r="F37" s="2"/>
      <c r="G37" s="2"/>
      <c r="H37" s="17"/>
      <c r="I37" s="17"/>
    </row>
    <row r="38" spans="2:10" ht="15" customHeight="1" x14ac:dyDescent="0.25">
      <c r="B38" s="8"/>
      <c r="C38" s="20"/>
      <c r="D38" s="20"/>
      <c r="E38" s="21"/>
      <c r="F38" s="2"/>
      <c r="G38" s="2"/>
      <c r="H38" s="17"/>
      <c r="I38" s="1"/>
    </row>
    <row r="39" spans="2:10" ht="15" customHeight="1" x14ac:dyDescent="0.25">
      <c r="B39" s="8"/>
      <c r="C39" s="1"/>
      <c r="D39" s="20"/>
      <c r="E39" s="21"/>
      <c r="F39" s="2"/>
      <c r="G39" s="2"/>
      <c r="H39" s="1"/>
      <c r="I39" s="1"/>
    </row>
    <row r="40" spans="2:10" ht="15" customHeight="1" x14ac:dyDescent="0.25">
      <c r="B40" s="8"/>
      <c r="C40" s="23"/>
      <c r="D40" s="1"/>
      <c r="E40" s="23"/>
      <c r="F40" s="2"/>
      <c r="G40" s="2"/>
      <c r="H40" s="17"/>
      <c r="I40" s="17"/>
    </row>
    <row r="41" spans="2:10" outlineLevel="1" x14ac:dyDescent="0.25">
      <c r="B41" s="8"/>
      <c r="C41" s="1"/>
      <c r="D41" s="20"/>
      <c r="E41" s="20"/>
      <c r="F41" s="2"/>
      <c r="G41" s="2"/>
      <c r="H41" s="17"/>
      <c r="I41" s="17"/>
    </row>
    <row r="42" spans="2:10" x14ac:dyDescent="0.25">
      <c r="B42" s="8"/>
      <c r="C42" s="1"/>
      <c r="D42" s="29"/>
      <c r="E42" s="23"/>
      <c r="F42" s="2"/>
      <c r="G42" s="2"/>
      <c r="H42" s="17"/>
      <c r="I42" s="17"/>
    </row>
    <row r="43" spans="2:10" ht="15" customHeight="1" x14ac:dyDescent="0.25">
      <c r="B43" s="8"/>
      <c r="C43" s="1"/>
      <c r="D43" s="20"/>
      <c r="E43" s="23"/>
      <c r="F43" s="2"/>
      <c r="G43" s="2"/>
      <c r="H43" s="17"/>
      <c r="I43" s="17"/>
    </row>
    <row r="44" spans="2:10" ht="15" customHeight="1" x14ac:dyDescent="0.25">
      <c r="B44" s="131" t="s">
        <v>18</v>
      </c>
      <c r="C44" s="131"/>
      <c r="D44" s="131"/>
      <c r="E44" s="131"/>
      <c r="F44" s="6">
        <f>SUM(F25:F43)</f>
        <v>0</v>
      </c>
      <c r="G44" s="6">
        <f>SUM(G25:G43)</f>
        <v>0</v>
      </c>
      <c r="H44" s="131"/>
      <c r="I44" s="131"/>
      <c r="J44">
        <f>F44+G44</f>
        <v>0</v>
      </c>
    </row>
    <row r="45" spans="2:10" ht="15" customHeight="1" x14ac:dyDescent="0.3">
      <c r="B45" s="137" t="s">
        <v>8</v>
      </c>
      <c r="C45" s="137"/>
      <c r="D45" s="137"/>
      <c r="E45" s="137"/>
      <c r="F45" s="137"/>
      <c r="G45" s="137"/>
      <c r="H45" s="137"/>
      <c r="I45" s="137"/>
    </row>
    <row r="46" spans="2:10" ht="15" customHeight="1" x14ac:dyDescent="0.25">
      <c r="B46" s="8">
        <v>1</v>
      </c>
      <c r="C46" s="20"/>
      <c r="D46" s="20" t="s">
        <v>160</v>
      </c>
      <c r="E46" s="44" t="s">
        <v>146</v>
      </c>
      <c r="F46" s="2"/>
      <c r="G46" s="2"/>
      <c r="H46" s="1"/>
      <c r="I46" s="1"/>
    </row>
    <row r="47" spans="2:10" ht="15" customHeight="1" x14ac:dyDescent="0.25">
      <c r="B47" s="8"/>
      <c r="C47" s="1"/>
      <c r="D47" s="25"/>
      <c r="E47" s="44" t="s">
        <v>161</v>
      </c>
      <c r="F47" s="2"/>
      <c r="G47" s="2"/>
      <c r="H47" s="1"/>
      <c r="I47" s="1"/>
    </row>
    <row r="48" spans="2:10" ht="15" customHeight="1" x14ac:dyDescent="0.25">
      <c r="B48" s="8"/>
      <c r="C48" s="1"/>
      <c r="D48" s="25"/>
      <c r="E48" s="44" t="s">
        <v>148</v>
      </c>
      <c r="F48" s="2"/>
      <c r="G48" s="2"/>
      <c r="H48" s="1"/>
      <c r="I48" s="1"/>
    </row>
    <row r="49" spans="2:11" ht="15" customHeight="1" x14ac:dyDescent="0.25">
      <c r="B49" s="8"/>
      <c r="C49" s="1"/>
      <c r="D49" s="25"/>
      <c r="E49" s="21"/>
      <c r="F49" s="2"/>
      <c r="G49" s="2"/>
      <c r="H49" s="1"/>
      <c r="I49" s="1"/>
    </row>
    <row r="50" spans="2:11" ht="15" customHeight="1" x14ac:dyDescent="0.25">
      <c r="B50" s="8">
        <v>2</v>
      </c>
      <c r="C50" s="1"/>
      <c r="D50" s="25" t="s">
        <v>195</v>
      </c>
      <c r="E50" s="44" t="s">
        <v>201</v>
      </c>
      <c r="F50" s="2"/>
      <c r="G50" s="2"/>
      <c r="H50" s="1"/>
      <c r="I50" s="1"/>
    </row>
    <row r="51" spans="2:11" ht="15" customHeight="1" x14ac:dyDescent="0.25">
      <c r="B51" s="8"/>
      <c r="C51" s="20"/>
      <c r="D51" s="25"/>
      <c r="E51" s="44" t="s">
        <v>203</v>
      </c>
      <c r="F51" s="2"/>
      <c r="G51" s="16"/>
      <c r="H51" s="1"/>
      <c r="I51" s="1"/>
    </row>
    <row r="52" spans="2:11" ht="15" customHeight="1" x14ac:dyDescent="0.25">
      <c r="B52" s="8"/>
      <c r="C52" s="1"/>
      <c r="D52" s="26"/>
      <c r="E52" s="44" t="s">
        <v>204</v>
      </c>
      <c r="F52" s="2"/>
      <c r="G52" s="2"/>
      <c r="H52" s="1"/>
      <c r="I52" s="1"/>
    </row>
    <row r="53" spans="2:11" ht="15" customHeight="1" x14ac:dyDescent="0.25">
      <c r="B53" s="8"/>
      <c r="C53" s="1"/>
      <c r="D53" s="26"/>
      <c r="E53" s="23"/>
      <c r="F53" s="2"/>
      <c r="G53" s="2"/>
      <c r="H53" s="1"/>
      <c r="I53" s="1"/>
    </row>
    <row r="54" spans="2:11" ht="15" customHeight="1" x14ac:dyDescent="0.25">
      <c r="B54" s="8">
        <v>3</v>
      </c>
      <c r="C54" s="1"/>
      <c r="D54" s="25" t="s">
        <v>44</v>
      </c>
      <c r="E54" s="44" t="s">
        <v>53</v>
      </c>
      <c r="F54" s="2"/>
      <c r="G54" s="2"/>
      <c r="H54" s="1"/>
      <c r="I54" s="1"/>
      <c r="K54" t="s">
        <v>132</v>
      </c>
    </row>
    <row r="55" spans="2:11" ht="15" customHeight="1" x14ac:dyDescent="0.25">
      <c r="B55" s="8"/>
      <c r="C55" s="1"/>
      <c r="D55" s="20"/>
      <c r="E55" s="44" t="s">
        <v>208</v>
      </c>
      <c r="F55" s="2"/>
      <c r="G55" s="2"/>
      <c r="H55" s="1"/>
      <c r="I55" s="1"/>
      <c r="K55" t="s">
        <v>132</v>
      </c>
    </row>
    <row r="56" spans="2:11" ht="15" customHeight="1" x14ac:dyDescent="0.25">
      <c r="B56" s="8"/>
      <c r="C56" s="1"/>
      <c r="D56" s="23"/>
      <c r="E56" s="44" t="s">
        <v>200</v>
      </c>
      <c r="F56" s="2"/>
      <c r="G56" s="2"/>
      <c r="H56" s="1"/>
      <c r="I56" s="1"/>
      <c r="K56" t="s">
        <v>132</v>
      </c>
    </row>
    <row r="57" spans="2:11" ht="15" customHeight="1" x14ac:dyDescent="0.25">
      <c r="B57" s="8"/>
      <c r="C57" s="1"/>
      <c r="D57" s="20"/>
      <c r="E57" s="23"/>
      <c r="F57" s="2"/>
      <c r="G57" s="2"/>
      <c r="H57" s="1"/>
      <c r="I57" s="1"/>
    </row>
    <row r="58" spans="2:11" ht="15" customHeight="1" x14ac:dyDescent="0.25">
      <c r="B58" s="8">
        <v>4</v>
      </c>
      <c r="C58" s="1"/>
      <c r="D58" s="25" t="s">
        <v>45</v>
      </c>
      <c r="E58" s="44" t="s">
        <v>151</v>
      </c>
      <c r="F58" s="2"/>
      <c r="G58" s="2"/>
      <c r="H58" s="1"/>
      <c r="I58" s="1"/>
      <c r="K58" t="s">
        <v>14</v>
      </c>
    </row>
    <row r="59" spans="2:11" ht="15" customHeight="1" x14ac:dyDescent="0.25">
      <c r="B59" s="8"/>
      <c r="C59" s="1"/>
      <c r="D59" s="20"/>
      <c r="E59" s="44" t="s">
        <v>156</v>
      </c>
      <c r="F59" s="2"/>
      <c r="G59" s="2"/>
      <c r="H59" s="1"/>
      <c r="I59" s="1"/>
      <c r="K59" t="s">
        <v>221</v>
      </c>
    </row>
    <row r="60" spans="2:11" ht="15" customHeight="1" x14ac:dyDescent="0.25">
      <c r="B60" s="8"/>
      <c r="C60" s="1"/>
      <c r="D60" s="20"/>
      <c r="E60" s="23"/>
      <c r="F60" s="2"/>
      <c r="G60" s="2"/>
      <c r="H60" s="1"/>
      <c r="I60" s="1"/>
    </row>
    <row r="61" spans="2:11" ht="15" customHeight="1" x14ac:dyDescent="0.25">
      <c r="B61" s="8">
        <v>5</v>
      </c>
      <c r="C61" s="1"/>
      <c r="D61" s="25" t="s">
        <v>47</v>
      </c>
      <c r="E61" s="44" t="s">
        <v>153</v>
      </c>
      <c r="F61" s="2"/>
      <c r="G61" s="2"/>
      <c r="H61" s="1"/>
      <c r="I61" s="1"/>
    </row>
    <row r="62" spans="2:11" ht="15" customHeight="1" x14ac:dyDescent="0.25">
      <c r="B62" s="8"/>
      <c r="C62" s="1"/>
      <c r="D62" s="26"/>
      <c r="E62" s="44" t="s">
        <v>165</v>
      </c>
      <c r="F62" s="2"/>
      <c r="G62" s="2"/>
      <c r="H62" s="1"/>
      <c r="I62" s="1"/>
    </row>
    <row r="63" spans="2:11" ht="15" customHeight="1" x14ac:dyDescent="0.25">
      <c r="B63" s="8"/>
      <c r="C63" s="1"/>
      <c r="D63" s="23"/>
      <c r="E63" s="21"/>
      <c r="F63" s="2"/>
      <c r="G63" s="2"/>
      <c r="H63" s="1"/>
      <c r="I63" s="1"/>
    </row>
    <row r="64" spans="2:11" ht="15" customHeight="1" x14ac:dyDescent="0.25">
      <c r="B64" s="8">
        <v>6</v>
      </c>
      <c r="C64" s="1"/>
      <c r="D64" s="26" t="s">
        <v>46</v>
      </c>
      <c r="E64" s="44" t="s">
        <v>133</v>
      </c>
      <c r="F64" s="2"/>
      <c r="G64" s="2"/>
      <c r="H64" s="1"/>
      <c r="I64" s="1"/>
    </row>
    <row r="65" spans="2:11" ht="15" customHeight="1" x14ac:dyDescent="0.25">
      <c r="B65" s="8"/>
      <c r="C65" s="1"/>
      <c r="D65" s="23"/>
      <c r="E65" s="44" t="s">
        <v>165</v>
      </c>
      <c r="F65" s="2"/>
      <c r="G65" s="2"/>
      <c r="H65" s="1"/>
      <c r="I65" s="1"/>
    </row>
    <row r="66" spans="2:11" ht="15" customHeight="1" x14ac:dyDescent="0.25">
      <c r="B66" s="8"/>
      <c r="C66" s="1"/>
      <c r="D66" s="23"/>
      <c r="E66" s="21"/>
      <c r="F66" s="2"/>
      <c r="G66" s="2"/>
      <c r="H66" s="1"/>
      <c r="I66" s="1"/>
    </row>
    <row r="67" spans="2:11" ht="15" customHeight="1" x14ac:dyDescent="0.25">
      <c r="B67" s="8">
        <v>7</v>
      </c>
      <c r="C67" s="1"/>
      <c r="D67" s="25" t="s">
        <v>54</v>
      </c>
      <c r="E67" s="44" t="s">
        <v>182</v>
      </c>
      <c r="F67" s="2"/>
      <c r="G67" s="2"/>
      <c r="H67" s="1"/>
      <c r="I67" s="1"/>
    </row>
    <row r="68" spans="2:11" ht="15" customHeight="1" x14ac:dyDescent="0.25">
      <c r="B68" s="8"/>
      <c r="C68" s="1"/>
      <c r="D68" s="23"/>
      <c r="E68" s="44" t="s">
        <v>123</v>
      </c>
      <c r="F68" s="2"/>
      <c r="G68" s="2"/>
      <c r="H68" s="1"/>
      <c r="I68" s="1"/>
    </row>
    <row r="69" spans="2:11" ht="15" customHeight="1" x14ac:dyDescent="0.25">
      <c r="B69" s="8"/>
      <c r="C69" s="1"/>
      <c r="D69" s="20"/>
      <c r="E69" s="21"/>
      <c r="F69" s="2"/>
      <c r="G69" s="2"/>
      <c r="H69" s="1"/>
      <c r="I69" s="1"/>
    </row>
    <row r="70" spans="2:11" ht="15" customHeight="1" x14ac:dyDescent="0.25">
      <c r="B70" s="8">
        <v>8</v>
      </c>
      <c r="C70" s="1"/>
      <c r="D70" s="25" t="s">
        <v>58</v>
      </c>
      <c r="E70" s="44" t="s">
        <v>122</v>
      </c>
      <c r="F70" s="2"/>
      <c r="G70" s="2"/>
      <c r="H70" s="1"/>
      <c r="I70" s="1"/>
    </row>
    <row r="71" spans="2:11" ht="15" customHeight="1" x14ac:dyDescent="0.25">
      <c r="B71" s="8"/>
      <c r="C71" s="1"/>
      <c r="D71" s="20"/>
      <c r="E71" s="44" t="s">
        <v>156</v>
      </c>
      <c r="F71" s="2"/>
      <c r="G71" s="2"/>
      <c r="H71" s="1"/>
      <c r="I71" s="1"/>
    </row>
    <row r="72" spans="2:11" ht="15" customHeight="1" x14ac:dyDescent="0.25">
      <c r="B72" s="8"/>
      <c r="C72" s="1"/>
      <c r="D72" s="20"/>
      <c r="E72" s="21"/>
      <c r="F72" s="2"/>
      <c r="G72" s="2"/>
      <c r="H72" s="1"/>
      <c r="I72" s="1"/>
    </row>
    <row r="73" spans="2:11" ht="15" customHeight="1" x14ac:dyDescent="0.25">
      <c r="B73" s="8">
        <v>9</v>
      </c>
      <c r="C73" s="1"/>
      <c r="D73" s="25" t="s">
        <v>55</v>
      </c>
      <c r="E73" s="44" t="s">
        <v>153</v>
      </c>
      <c r="F73" s="2"/>
      <c r="G73" s="2"/>
      <c r="H73" s="1"/>
      <c r="I73" s="1"/>
    </row>
    <row r="74" spans="2:11" ht="15" customHeight="1" x14ac:dyDescent="0.25">
      <c r="B74" s="8"/>
      <c r="C74" s="1"/>
      <c r="D74" s="20"/>
      <c r="E74" s="44" t="s">
        <v>165</v>
      </c>
      <c r="F74" s="2"/>
      <c r="G74" s="2"/>
      <c r="H74" s="1"/>
      <c r="I74" s="1"/>
    </row>
    <row r="75" spans="2:11" ht="15" customHeight="1" x14ac:dyDescent="0.25">
      <c r="B75" s="8"/>
      <c r="C75" s="1"/>
      <c r="D75" s="21"/>
      <c r="E75" s="21"/>
      <c r="F75" s="2"/>
      <c r="G75" s="2"/>
      <c r="H75" s="17"/>
      <c r="I75" s="1"/>
    </row>
    <row r="76" spans="2:11" ht="15" customHeight="1" x14ac:dyDescent="0.25">
      <c r="B76" s="8">
        <v>10</v>
      </c>
      <c r="C76" s="23"/>
      <c r="D76" s="26" t="s">
        <v>179</v>
      </c>
      <c r="E76" s="44" t="s">
        <v>140</v>
      </c>
      <c r="F76" s="2"/>
      <c r="G76" s="16"/>
      <c r="H76" s="1"/>
      <c r="I76" s="17"/>
      <c r="K76" t="s">
        <v>35</v>
      </c>
    </row>
    <row r="77" spans="2:11" ht="15" customHeight="1" x14ac:dyDescent="0.25">
      <c r="B77" s="8"/>
      <c r="C77" s="23"/>
      <c r="D77" s="1"/>
      <c r="E77" s="23"/>
      <c r="F77" s="2"/>
      <c r="G77" s="16"/>
      <c r="H77" s="1"/>
      <c r="I77" s="17"/>
    </row>
    <row r="78" spans="2:11" ht="15" customHeight="1" x14ac:dyDescent="0.25">
      <c r="B78" s="8">
        <v>11</v>
      </c>
      <c r="C78" s="23"/>
      <c r="D78" s="25" t="s">
        <v>56</v>
      </c>
      <c r="E78" s="44" t="s">
        <v>90</v>
      </c>
      <c r="F78" s="2"/>
      <c r="G78" s="16"/>
      <c r="H78" s="1"/>
      <c r="I78" s="17"/>
      <c r="K78" t="s">
        <v>31</v>
      </c>
    </row>
    <row r="79" spans="2:11" ht="15" customHeight="1" x14ac:dyDescent="0.25">
      <c r="B79" s="8"/>
      <c r="C79" s="23"/>
      <c r="D79" s="1"/>
      <c r="E79" s="25" t="s">
        <v>181</v>
      </c>
      <c r="F79" s="2"/>
      <c r="G79" s="16"/>
      <c r="H79" s="1"/>
      <c r="I79" s="17"/>
    </row>
    <row r="80" spans="2:11" ht="15" customHeight="1" x14ac:dyDescent="0.25">
      <c r="B80" s="8"/>
      <c r="C80" s="23"/>
      <c r="D80" s="1"/>
      <c r="E80" s="23"/>
      <c r="F80" s="2"/>
      <c r="G80" s="16"/>
      <c r="H80" s="1"/>
      <c r="I80" s="17"/>
    </row>
    <row r="81" spans="2:10" ht="15" customHeight="1" x14ac:dyDescent="0.25">
      <c r="B81" s="8">
        <v>12</v>
      </c>
      <c r="C81" s="23"/>
      <c r="D81" s="26" t="s">
        <v>57</v>
      </c>
      <c r="E81" s="44" t="s">
        <v>135</v>
      </c>
      <c r="F81" s="2"/>
      <c r="G81" s="16"/>
      <c r="H81" s="1"/>
      <c r="I81" s="17"/>
    </row>
    <row r="82" spans="2:10" ht="15" customHeight="1" x14ac:dyDescent="0.25">
      <c r="B82" s="8"/>
      <c r="C82" s="23"/>
      <c r="D82" s="1"/>
      <c r="E82" s="44" t="s">
        <v>133</v>
      </c>
      <c r="F82" s="2"/>
      <c r="G82" s="16"/>
      <c r="H82" s="1"/>
      <c r="I82" s="17"/>
    </row>
    <row r="83" spans="2:10" ht="15" customHeight="1" x14ac:dyDescent="0.25">
      <c r="B83" s="8"/>
      <c r="C83" s="23"/>
      <c r="D83" s="1"/>
      <c r="E83" s="44" t="s">
        <v>178</v>
      </c>
      <c r="F83" s="2"/>
      <c r="G83" s="16"/>
      <c r="H83" s="1"/>
      <c r="I83" s="17"/>
    </row>
    <row r="84" spans="2:10" ht="15" customHeight="1" x14ac:dyDescent="0.25">
      <c r="B84" s="8"/>
      <c r="C84" s="23"/>
      <c r="D84" s="1"/>
      <c r="E84" s="23"/>
      <c r="F84" s="2"/>
      <c r="G84" s="16"/>
      <c r="H84" s="1"/>
      <c r="I84" s="17"/>
    </row>
    <row r="85" spans="2:10" ht="15" customHeight="1" x14ac:dyDescent="0.25">
      <c r="B85" s="8">
        <v>13</v>
      </c>
      <c r="C85" s="23"/>
      <c r="D85" s="25" t="s">
        <v>66</v>
      </c>
      <c r="E85" s="44" t="s">
        <v>192</v>
      </c>
      <c r="F85" s="2"/>
      <c r="G85" s="16"/>
      <c r="H85" s="1"/>
      <c r="I85" s="17"/>
    </row>
    <row r="86" spans="2:10" ht="15" customHeight="1" x14ac:dyDescent="0.25">
      <c r="B86" s="8"/>
      <c r="C86" s="23"/>
      <c r="D86" s="1"/>
      <c r="E86" s="23"/>
      <c r="F86" s="2"/>
      <c r="G86" s="16"/>
      <c r="H86" s="1"/>
      <c r="I86" s="17"/>
    </row>
    <row r="87" spans="2:10" ht="15" customHeight="1" x14ac:dyDescent="0.25">
      <c r="B87" s="8">
        <v>14</v>
      </c>
      <c r="C87" s="23"/>
      <c r="D87" s="25" t="s">
        <v>213</v>
      </c>
      <c r="E87" s="44" t="s">
        <v>214</v>
      </c>
      <c r="F87" s="2"/>
      <c r="G87" s="16"/>
      <c r="H87" s="1"/>
      <c r="I87" s="17"/>
    </row>
    <row r="88" spans="2:10" ht="15" customHeight="1" x14ac:dyDescent="0.25">
      <c r="B88" s="8"/>
      <c r="C88" s="23"/>
      <c r="D88" s="1"/>
      <c r="E88" s="23"/>
      <c r="F88" s="2"/>
      <c r="G88" s="16"/>
      <c r="H88" s="1"/>
      <c r="I88" s="17"/>
    </row>
    <row r="89" spans="2:10" ht="15" customHeight="1" x14ac:dyDescent="0.25">
      <c r="B89" s="8"/>
      <c r="C89" s="23"/>
      <c r="D89" s="1"/>
      <c r="E89" s="23"/>
      <c r="F89" s="2"/>
      <c r="G89" s="16"/>
      <c r="H89" s="1"/>
      <c r="I89" s="17"/>
    </row>
    <row r="90" spans="2:10" ht="15" customHeight="1" x14ac:dyDescent="0.25">
      <c r="B90" s="8"/>
      <c r="C90" s="23"/>
      <c r="D90" s="1"/>
      <c r="E90" s="23"/>
      <c r="F90" s="2"/>
      <c r="G90" s="16"/>
      <c r="H90" s="1"/>
      <c r="I90" s="17"/>
    </row>
    <row r="91" spans="2:10" ht="15" customHeight="1" x14ac:dyDescent="0.25">
      <c r="B91" s="8"/>
      <c r="C91" s="23"/>
      <c r="D91" s="1"/>
      <c r="E91" s="23"/>
      <c r="F91" s="2"/>
      <c r="G91" s="16"/>
      <c r="H91" s="1"/>
      <c r="I91" s="17"/>
    </row>
    <row r="92" spans="2:10" ht="15" customHeight="1" x14ac:dyDescent="0.25">
      <c r="B92" s="8"/>
      <c r="C92" s="23"/>
      <c r="D92" s="1"/>
      <c r="E92" s="23"/>
      <c r="F92" s="2"/>
      <c r="G92" s="16"/>
      <c r="H92" s="1"/>
      <c r="I92" s="17"/>
    </row>
    <row r="93" spans="2:10" x14ac:dyDescent="0.25">
      <c r="B93" s="131" t="s">
        <v>18</v>
      </c>
      <c r="C93" s="131"/>
      <c r="D93" s="131"/>
      <c r="E93" s="131"/>
      <c r="F93" s="6">
        <f>SUM(F46:F76)</f>
        <v>0</v>
      </c>
      <c r="G93" s="6">
        <v>60</v>
      </c>
      <c r="H93" s="28"/>
      <c r="I93" s="28"/>
      <c r="J93">
        <f>F93+G93</f>
        <v>60</v>
      </c>
    </row>
    <row r="94" spans="2:10" ht="15" customHeight="1" x14ac:dyDescent="0.3">
      <c r="B94" s="137" t="s">
        <v>12</v>
      </c>
      <c r="C94" s="137"/>
      <c r="D94" s="137"/>
      <c r="E94" s="137"/>
      <c r="F94" s="137"/>
      <c r="G94" s="137"/>
      <c r="H94" s="137"/>
      <c r="I94" s="137"/>
    </row>
    <row r="95" spans="2:10" ht="15" customHeight="1" x14ac:dyDescent="0.25">
      <c r="B95" s="8">
        <v>1</v>
      </c>
      <c r="C95" s="1"/>
      <c r="D95" s="22"/>
      <c r="E95" s="24"/>
      <c r="F95" s="2"/>
      <c r="G95" s="16"/>
      <c r="H95" s="1"/>
      <c r="I95" s="1"/>
    </row>
    <row r="96" spans="2:10" ht="15" customHeight="1" x14ac:dyDescent="0.25">
      <c r="B96" s="8">
        <v>2</v>
      </c>
      <c r="C96" s="1"/>
      <c r="D96" s="1"/>
      <c r="E96" s="1"/>
      <c r="F96" s="2"/>
      <c r="G96" s="16"/>
      <c r="H96" s="1"/>
      <c r="I96" s="1"/>
    </row>
    <row r="97" spans="2:9" ht="15" customHeight="1" x14ac:dyDescent="0.25">
      <c r="B97" s="8">
        <v>3</v>
      </c>
      <c r="C97" s="1"/>
      <c r="D97" s="1"/>
      <c r="E97" s="1"/>
      <c r="F97" s="2"/>
      <c r="G97" s="16"/>
      <c r="H97" s="1"/>
      <c r="I97" s="1"/>
    </row>
    <row r="98" spans="2:9" ht="15" customHeight="1" x14ac:dyDescent="0.25">
      <c r="B98" s="8">
        <v>3</v>
      </c>
      <c r="C98" s="1"/>
      <c r="D98" s="1"/>
      <c r="E98" s="1"/>
      <c r="F98" s="2"/>
      <c r="G98" s="16"/>
      <c r="H98" s="1"/>
      <c r="I98" s="1"/>
    </row>
    <row r="99" spans="2:9" ht="15" customHeight="1" x14ac:dyDescent="0.25">
      <c r="B99" s="8">
        <v>4</v>
      </c>
      <c r="C99" s="1"/>
      <c r="D99" s="23"/>
      <c r="E99" s="1"/>
      <c r="F99" s="2"/>
      <c r="G99" s="2"/>
      <c r="H99" s="1"/>
      <c r="I99" s="1"/>
    </row>
    <row r="100" spans="2:9" ht="15" customHeight="1" x14ac:dyDescent="0.25">
      <c r="B100" s="8">
        <v>5</v>
      </c>
      <c r="C100" s="1"/>
      <c r="D100" s="1"/>
      <c r="E100" s="1"/>
      <c r="F100" s="2"/>
      <c r="G100" s="2"/>
      <c r="H100" s="1"/>
      <c r="I100" s="1"/>
    </row>
    <row r="101" spans="2:9" ht="15" customHeight="1" x14ac:dyDescent="0.25">
      <c r="B101" s="8">
        <v>6</v>
      </c>
      <c r="C101" s="1"/>
      <c r="D101" s="1"/>
      <c r="E101" s="1"/>
      <c r="F101" s="2"/>
      <c r="G101" s="2"/>
      <c r="H101" s="1"/>
      <c r="I101" s="1"/>
    </row>
    <row r="102" spans="2:9" ht="15" customHeight="1" x14ac:dyDescent="0.25">
      <c r="B102" s="8">
        <v>7</v>
      </c>
      <c r="C102" s="1"/>
      <c r="D102" s="1"/>
      <c r="E102" s="23"/>
      <c r="F102" s="18"/>
      <c r="G102" s="18"/>
      <c r="H102" s="1"/>
      <c r="I102" s="1"/>
    </row>
    <row r="103" spans="2:9" ht="15" customHeight="1" thickBot="1" x14ac:dyDescent="0.3">
      <c r="B103" s="138" t="s">
        <v>18</v>
      </c>
      <c r="C103" s="139"/>
      <c r="D103" s="139"/>
      <c r="E103" s="139"/>
      <c r="F103" s="7">
        <f>SUM(F94:F102)</f>
        <v>0</v>
      </c>
      <c r="G103" s="7">
        <f>SUM(G95:G100)</f>
        <v>0</v>
      </c>
      <c r="H103" s="139"/>
      <c r="I103" s="140"/>
    </row>
    <row r="104" spans="2:9" ht="15" customHeight="1" thickBot="1" x14ac:dyDescent="0.3"/>
    <row r="105" spans="2:9" ht="15" customHeight="1" thickBot="1" x14ac:dyDescent="0.3">
      <c r="B105" s="141" t="s">
        <v>22</v>
      </c>
      <c r="C105" s="142"/>
      <c r="D105" s="10" t="s">
        <v>23</v>
      </c>
      <c r="E105" s="10" t="s">
        <v>24</v>
      </c>
      <c r="F105" s="19" t="s">
        <v>25</v>
      </c>
      <c r="G105" s="19"/>
      <c r="H105" s="11"/>
      <c r="I105" s="12" t="s">
        <v>18</v>
      </c>
    </row>
    <row r="106" spans="2:9" ht="15" customHeight="1" thickTop="1" thickBot="1" x14ac:dyDescent="0.3">
      <c r="B106" s="147">
        <v>0</v>
      </c>
      <c r="C106" s="148"/>
      <c r="D106" s="13">
        <v>0</v>
      </c>
      <c r="E106" s="13">
        <v>0</v>
      </c>
      <c r="F106" s="143">
        <v>0</v>
      </c>
      <c r="G106" s="143"/>
      <c r="H106" s="143"/>
      <c r="I106" s="14">
        <f>F106+E106+D106+C106</f>
        <v>0</v>
      </c>
    </row>
    <row r="108" spans="2:9" x14ac:dyDescent="0.25">
      <c r="B108" t="s">
        <v>21</v>
      </c>
    </row>
    <row r="110" spans="2:9" ht="17.25" x14ac:dyDescent="0.3">
      <c r="B110" s="3" t="s">
        <v>20</v>
      </c>
      <c r="C110" s="9" t="s">
        <v>19</v>
      </c>
      <c r="D110" s="9"/>
      <c r="E110" s="9" t="s">
        <v>9</v>
      </c>
      <c r="F110" s="3" t="s">
        <v>10</v>
      </c>
      <c r="G110" s="3" t="s">
        <v>11</v>
      </c>
      <c r="H110" s="145" t="s">
        <v>5</v>
      </c>
      <c r="I110" s="146"/>
    </row>
    <row r="111" spans="2:9" x14ac:dyDescent="0.25">
      <c r="B111" s="8">
        <v>1</v>
      </c>
      <c r="C111" s="15" t="s">
        <v>17</v>
      </c>
      <c r="D111" s="1" t="s">
        <v>216</v>
      </c>
      <c r="E111" s="1"/>
      <c r="F111" s="1"/>
      <c r="G111" s="1"/>
      <c r="H111" s="144"/>
      <c r="I111" s="144"/>
    </row>
    <row r="112" spans="2:9" x14ac:dyDescent="0.25">
      <c r="B112" s="8">
        <v>2</v>
      </c>
      <c r="C112" s="8" t="s">
        <v>14</v>
      </c>
      <c r="D112" s="1" t="s">
        <v>219</v>
      </c>
      <c r="E112" s="1"/>
      <c r="F112" s="1"/>
      <c r="G112" s="1"/>
      <c r="H112" s="144"/>
      <c r="I112" s="144"/>
    </row>
    <row r="113" spans="2:9" x14ac:dyDescent="0.25">
      <c r="B113" s="8">
        <v>3</v>
      </c>
      <c r="C113" s="8" t="s">
        <v>36</v>
      </c>
      <c r="D113" s="1" t="s">
        <v>217</v>
      </c>
      <c r="E113" s="1"/>
      <c r="F113" s="1"/>
      <c r="G113" s="1"/>
      <c r="H113" s="144"/>
      <c r="I113" s="144"/>
    </row>
    <row r="114" spans="2:9" x14ac:dyDescent="0.25">
      <c r="B114" s="8">
        <v>4</v>
      </c>
      <c r="C114" s="8" t="s">
        <v>30</v>
      </c>
      <c r="D114" s="1" t="s">
        <v>218</v>
      </c>
      <c r="E114" s="1"/>
      <c r="F114" s="1"/>
      <c r="G114" s="1"/>
      <c r="H114" s="144"/>
      <c r="I114" s="144"/>
    </row>
    <row r="115" spans="2:9" x14ac:dyDescent="0.25">
      <c r="B115" s="8">
        <v>5</v>
      </c>
      <c r="C115" s="8" t="s">
        <v>16</v>
      </c>
      <c r="D115" s="1" t="s">
        <v>218</v>
      </c>
      <c r="E115" s="1"/>
      <c r="F115" s="1"/>
      <c r="G115" s="1"/>
      <c r="H115" s="144"/>
      <c r="I115" s="144"/>
    </row>
    <row r="116" spans="2:9" x14ac:dyDescent="0.25">
      <c r="B116" s="8">
        <v>6</v>
      </c>
      <c r="C116" s="8" t="s">
        <v>31</v>
      </c>
      <c r="D116" s="1" t="s">
        <v>218</v>
      </c>
      <c r="E116" s="1"/>
      <c r="F116" s="1"/>
      <c r="G116" s="1"/>
      <c r="H116" s="144"/>
      <c r="I116" s="144"/>
    </row>
    <row r="117" spans="2:9" x14ac:dyDescent="0.25">
      <c r="B117" s="8">
        <v>7</v>
      </c>
      <c r="C117" s="8" t="s">
        <v>35</v>
      </c>
      <c r="D117" s="1" t="s">
        <v>218</v>
      </c>
      <c r="E117" s="1"/>
      <c r="F117" s="1"/>
      <c r="G117" s="1"/>
      <c r="H117" s="144"/>
      <c r="I117" s="144"/>
    </row>
  </sheetData>
  <mergeCells count="25">
    <mergeCell ref="H116:I116"/>
    <mergeCell ref="H117:I117"/>
    <mergeCell ref="H110:I110"/>
    <mergeCell ref="B106:C106"/>
    <mergeCell ref="H115:I115"/>
    <mergeCell ref="H111:I111"/>
    <mergeCell ref="H112:I112"/>
    <mergeCell ref="H113:I113"/>
    <mergeCell ref="H114:I114"/>
    <mergeCell ref="B94:I94"/>
    <mergeCell ref="B103:E103"/>
    <mergeCell ref="H103:I103"/>
    <mergeCell ref="B105:C105"/>
    <mergeCell ref="F106:H106"/>
    <mergeCell ref="B24:I24"/>
    <mergeCell ref="B44:E44"/>
    <mergeCell ref="H44:I44"/>
    <mergeCell ref="B45:I45"/>
    <mergeCell ref="B93:E93"/>
    <mergeCell ref="B5:I5"/>
    <mergeCell ref="B6:C6"/>
    <mergeCell ref="D6:I6"/>
    <mergeCell ref="B7:I7"/>
    <mergeCell ref="B23:E23"/>
    <mergeCell ref="H23:I23"/>
  </mergeCells>
  <conditionalFormatting sqref="D9:D17 D36:D37">
    <cfRule type="expression" priority="57">
      <formula>SEARCH("BILLING DONE", #REF!) &gt; 0</formula>
    </cfRule>
    <cfRule type="expression" dxfId="280" priority="58">
      <formula>SEARCH("NOT BILLED", #REF!) &gt; 0</formula>
    </cfRule>
  </conditionalFormatting>
  <conditionalFormatting sqref="D25:D31 D47:D49 D51:D53">
    <cfRule type="expression" priority="59">
      <formula>SEARCH("BILLING DONE", #REF!) &gt; 0</formula>
    </cfRule>
    <cfRule type="expression" dxfId="279" priority="60">
      <formula>SEARCH("NOT BILLED", #REF!) &gt; 0</formula>
    </cfRule>
  </conditionalFormatting>
  <conditionalFormatting sqref="D50">
    <cfRule type="expression" priority="51">
      <formula>SEARCH("BILLING DONE", $B50) &gt; 0</formula>
    </cfRule>
    <cfRule type="expression" dxfId="278" priority="52">
      <formula>SEARCH("NOT BILLED", $B50) &gt; 0</formula>
    </cfRule>
  </conditionalFormatting>
  <conditionalFormatting sqref="D54">
    <cfRule type="expression" priority="47">
      <formula>SEARCH("BILLING DONE", $B54) &gt; 0</formula>
    </cfRule>
    <cfRule type="expression" dxfId="277" priority="48">
      <formula>SEARCH("NOT BILLED", $B54) &gt; 0</formula>
    </cfRule>
  </conditionalFormatting>
  <conditionalFormatting sqref="D58">
    <cfRule type="expression" priority="43">
      <formula>SEARCH("BILLING DONE", $B58) &gt; 0</formula>
    </cfRule>
    <cfRule type="expression" dxfId="276" priority="44">
      <formula>SEARCH("NOT BILLED", $B58) &gt; 0</formula>
    </cfRule>
  </conditionalFormatting>
  <conditionalFormatting sqref="D61">
    <cfRule type="expression" priority="39">
      <formula>SEARCH("BILLING DONE", $B61) &gt; 0</formula>
    </cfRule>
    <cfRule type="expression" dxfId="275" priority="40">
      <formula>SEARCH("NOT BILLED", $B61) &gt; 0</formula>
    </cfRule>
  </conditionalFormatting>
  <conditionalFormatting sqref="D62">
    <cfRule type="expression" priority="77">
      <formula>SEARCH("BILLING DONE", #REF!) &gt; 0</formula>
    </cfRule>
    <cfRule type="expression" dxfId="274" priority="78">
      <formula>SEARCH("NOT BILLED", #REF!) &gt; 0</formula>
    </cfRule>
  </conditionalFormatting>
  <conditionalFormatting sqref="D64">
    <cfRule type="expression" priority="35">
      <formula>SEARCH("BILLING DONE", $B64) &gt; 0</formula>
    </cfRule>
    <cfRule type="expression" dxfId="273" priority="36">
      <formula>SEARCH("NOT BILLED", $B64) &gt; 0</formula>
    </cfRule>
  </conditionalFormatting>
  <conditionalFormatting sqref="D67">
    <cfRule type="expression" priority="31">
      <formula>SEARCH("BILLING DONE", $B67) &gt; 0</formula>
    </cfRule>
    <cfRule type="expression" dxfId="272" priority="32">
      <formula>SEARCH("NOT BILLED", $B67) &gt; 0</formula>
    </cfRule>
  </conditionalFormatting>
  <conditionalFormatting sqref="D70">
    <cfRule type="expression" priority="27">
      <formula>SEARCH("BILLING DONE", $B70) &gt; 0</formula>
    </cfRule>
    <cfRule type="expression" dxfId="271" priority="28">
      <formula>SEARCH("NOT BILLED", $B70) &gt; 0</formula>
    </cfRule>
  </conditionalFormatting>
  <conditionalFormatting sqref="D73">
    <cfRule type="expression" priority="23">
      <formula>SEARCH("BILLING DONE", $B73) &gt; 0</formula>
    </cfRule>
    <cfRule type="expression" dxfId="270" priority="24">
      <formula>SEARCH("NOT BILLED", $B73) &gt; 0</formula>
    </cfRule>
  </conditionalFormatting>
  <conditionalFormatting sqref="D78">
    <cfRule type="expression" priority="15">
      <formula>SEARCH("BILLING DONE", $B78) &gt; 0</formula>
    </cfRule>
    <cfRule type="expression" dxfId="269" priority="16">
      <formula>SEARCH("NOT BILLED", $B78) &gt; 0</formula>
    </cfRule>
  </conditionalFormatting>
  <conditionalFormatting sqref="D81">
    <cfRule type="expression" priority="11">
      <formula>SEARCH("BILLING DONE", $B81) &gt; 0</formula>
    </cfRule>
    <cfRule type="expression" dxfId="268" priority="12">
      <formula>SEARCH("NOT BILLED", $B81) &gt; 0</formula>
    </cfRule>
  </conditionalFormatting>
  <conditionalFormatting sqref="D76:E76">
    <cfRule type="expression" priority="17">
      <formula>SEARCH("BILLING DONE", $B76) &gt; 0</formula>
    </cfRule>
    <cfRule type="expression" dxfId="267" priority="18">
      <formula>SEARCH("NOT BILLED", $B76) &gt; 0</formula>
    </cfRule>
  </conditionalFormatting>
  <conditionalFormatting sqref="D85:E85">
    <cfRule type="expression" priority="3">
      <formula>SEARCH("BILLING DONE", $B85) &gt; 0</formula>
    </cfRule>
    <cfRule type="expression" dxfId="266" priority="4">
      <formula>SEARCH("NOT BILLED", $B85) &gt; 0</formula>
    </cfRule>
  </conditionalFormatting>
  <conditionalFormatting sqref="D87:E87">
    <cfRule type="expression" priority="1">
      <formula>SEARCH("BILLING DONE", $B87) &gt; 0</formula>
    </cfRule>
    <cfRule type="expression" dxfId="265" priority="2">
      <formula>SEARCH("NOT BILLED", $B87) &gt; 0</formula>
    </cfRule>
  </conditionalFormatting>
  <conditionalFormatting sqref="D95:E95">
    <cfRule type="expression" priority="85">
      <formula>SEARCH("BILLING DONE", $B95) &gt; 0</formula>
    </cfRule>
    <cfRule type="expression" dxfId="264" priority="86">
      <formula>SEARCH("NOT BILLED", $B95) &gt; 0</formula>
    </cfRule>
  </conditionalFormatting>
  <conditionalFormatting sqref="E46:E48">
    <cfRule type="expression" priority="53">
      <formula>SEARCH("BILLING DONE", $B46) &gt; 0</formula>
    </cfRule>
    <cfRule type="expression" dxfId="263" priority="54">
      <formula>SEARCH("NOT BILLED", $B46) &gt; 0</formula>
    </cfRule>
  </conditionalFormatting>
  <conditionalFormatting sqref="E50:E52">
    <cfRule type="expression" priority="49">
      <formula>SEARCH("BILLING DONE", $B50) &gt; 0</formula>
    </cfRule>
    <cfRule type="expression" dxfId="262" priority="50">
      <formula>SEARCH("NOT BILLED", $B50) &gt; 0</formula>
    </cfRule>
  </conditionalFormatting>
  <conditionalFormatting sqref="E54:E56">
    <cfRule type="expression" priority="45">
      <formula>SEARCH("BILLING DONE", $B54) &gt; 0</formula>
    </cfRule>
    <cfRule type="expression" dxfId="261" priority="46">
      <formula>SEARCH("NOT BILLED", $B54) &gt; 0</formula>
    </cfRule>
  </conditionalFormatting>
  <conditionalFormatting sqref="E58:E59">
    <cfRule type="expression" priority="41">
      <formula>SEARCH("BILLING DONE", $B58) &gt; 0</formula>
    </cfRule>
    <cfRule type="expression" dxfId="260" priority="42">
      <formula>SEARCH("NOT BILLED", $B58) &gt; 0</formula>
    </cfRule>
  </conditionalFormatting>
  <conditionalFormatting sqref="E61:E62">
    <cfRule type="expression" priority="37">
      <formula>SEARCH("BILLING DONE", $B61) &gt; 0</formula>
    </cfRule>
    <cfRule type="expression" dxfId="259" priority="38">
      <formula>SEARCH("NOT BILLED", $B61) &gt; 0</formula>
    </cfRule>
  </conditionalFormatting>
  <conditionalFormatting sqref="E64:E65">
    <cfRule type="expression" priority="33">
      <formula>SEARCH("BILLING DONE", $B64) &gt; 0</formula>
    </cfRule>
    <cfRule type="expression" dxfId="258" priority="34">
      <formula>SEARCH("NOT BILLED", $B64) &gt; 0</formula>
    </cfRule>
  </conditionalFormatting>
  <conditionalFormatting sqref="E67:E68">
    <cfRule type="expression" priority="29">
      <formula>SEARCH("BILLING DONE", $B67) &gt; 0</formula>
    </cfRule>
    <cfRule type="expression" dxfId="257" priority="30">
      <formula>SEARCH("NOT BILLED", $B67) &gt; 0</formula>
    </cfRule>
  </conditionalFormatting>
  <conditionalFormatting sqref="E70:E71">
    <cfRule type="expression" priority="25">
      <formula>SEARCH("BILLING DONE", $B70) &gt; 0</formula>
    </cfRule>
    <cfRule type="expression" dxfId="256" priority="26">
      <formula>SEARCH("NOT BILLED", $B70) &gt; 0</formula>
    </cfRule>
  </conditionalFormatting>
  <conditionalFormatting sqref="E73:E74">
    <cfRule type="expression" priority="21">
      <formula>SEARCH("BILLING DONE", $B73) &gt; 0</formula>
    </cfRule>
    <cfRule type="expression" dxfId="255" priority="22">
      <formula>SEARCH("NOT BILLED", $B73) &gt; 0</formula>
    </cfRule>
  </conditionalFormatting>
  <conditionalFormatting sqref="E78:E79">
    <cfRule type="expression" priority="13">
      <formula>SEARCH("BILLING DONE", $B78) &gt; 0</formula>
    </cfRule>
    <cfRule type="expression" dxfId="254" priority="14">
      <formula>SEARCH("NOT BILLED", $B78) &gt; 0</formula>
    </cfRule>
  </conditionalFormatting>
  <conditionalFormatting sqref="E81:E83">
    <cfRule type="expression" priority="9">
      <formula>SEARCH("BILLING DONE", $B81) &gt; 0</formula>
    </cfRule>
    <cfRule type="expression" dxfId="253" priority="10">
      <formula>SEARCH("NOT BILLED", $B81) &gt; 0</formula>
    </cfRule>
  </conditionalFormatting>
  <pageMargins left="0.70866141732283472" right="0.70866141732283472" top="0.74803149606299213" bottom="0.74803149606299213" header="0.31496062992125984" footer="0.31496062992125984"/>
  <pageSetup paperSize="8" scale="31" orientation="landscape" horizontalDpi="1200" verticalDpi="12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4"/>
  <sheetViews>
    <sheetView tabSelected="1" topLeftCell="A484" zoomScale="70" zoomScaleNormal="70" workbookViewId="0">
      <selection activeCell="H48" sqref="H48"/>
    </sheetView>
  </sheetViews>
  <sheetFormatPr defaultRowHeight="15" x14ac:dyDescent="0.25"/>
  <cols>
    <col min="1" max="1" width="14.42578125" style="30" bestFit="1" customWidth="1"/>
    <col min="2" max="2" width="21.42578125" style="30" bestFit="1" customWidth="1"/>
    <col min="3" max="3" width="28.28515625" style="30" customWidth="1"/>
    <col min="4" max="4" width="59.7109375" style="30" bestFit="1" customWidth="1"/>
    <col min="5" max="5" width="19.5703125" style="30" bestFit="1" customWidth="1"/>
    <col min="6" max="6" width="24.85546875" style="30" bestFit="1" customWidth="1"/>
    <col min="7" max="7" width="15" style="30" bestFit="1" customWidth="1"/>
    <col min="8" max="8" width="26" style="30" bestFit="1" customWidth="1"/>
    <col min="9" max="9" width="22.5703125" style="30" customWidth="1"/>
    <col min="10" max="10" width="18" style="30" customWidth="1"/>
    <col min="11" max="11" width="43.7109375" style="30" bestFit="1" customWidth="1"/>
    <col min="12" max="16384" width="9.140625" style="30"/>
  </cols>
  <sheetData>
    <row r="1" spans="1:11" ht="23.25" x14ac:dyDescent="0.25">
      <c r="A1" s="33"/>
      <c r="B1" s="34"/>
      <c r="C1" s="150" t="s">
        <v>89</v>
      </c>
      <c r="D1" s="151"/>
      <c r="E1" s="152"/>
      <c r="F1" s="152"/>
      <c r="G1" s="152"/>
      <c r="H1" s="152"/>
      <c r="I1" s="152"/>
      <c r="J1" s="152"/>
      <c r="K1" s="153"/>
    </row>
    <row r="2" spans="1:11" ht="16.5" thickBot="1" x14ac:dyDescent="0.3">
      <c r="A2" s="35" t="s">
        <v>20</v>
      </c>
      <c r="B2" s="36" t="s">
        <v>67</v>
      </c>
      <c r="C2" s="37" t="s">
        <v>68</v>
      </c>
      <c r="D2" s="36" t="s">
        <v>69</v>
      </c>
      <c r="E2" s="37" t="s">
        <v>70</v>
      </c>
      <c r="F2" s="38" t="s">
        <v>251</v>
      </c>
      <c r="G2" s="37" t="s">
        <v>71</v>
      </c>
      <c r="H2" s="37" t="s">
        <v>72</v>
      </c>
      <c r="I2" s="37" t="s">
        <v>73</v>
      </c>
    </row>
    <row r="3" spans="1:11" ht="15.75" x14ac:dyDescent="0.25">
      <c r="A3" s="39"/>
      <c r="B3" s="40"/>
      <c r="C3" s="41"/>
      <c r="D3" s="40"/>
      <c r="E3" s="42"/>
      <c r="F3" s="42"/>
      <c r="G3" s="42"/>
      <c r="H3" s="43"/>
      <c r="I3" s="42"/>
    </row>
    <row r="4" spans="1:11" x14ac:dyDescent="0.25">
      <c r="A4" s="32">
        <v>1</v>
      </c>
      <c r="B4" s="26" t="s">
        <v>80</v>
      </c>
      <c r="C4" s="25" t="s">
        <v>74</v>
      </c>
      <c r="D4" s="44" t="s">
        <v>90</v>
      </c>
      <c r="E4" s="45" t="s">
        <v>62</v>
      </c>
      <c r="F4" s="45">
        <v>46357</v>
      </c>
      <c r="G4" s="46">
        <v>2.8</v>
      </c>
      <c r="H4" s="47" t="s">
        <v>33</v>
      </c>
      <c r="I4" s="31" t="s">
        <v>13</v>
      </c>
    </row>
    <row r="5" spans="1:11" x14ac:dyDescent="0.25">
      <c r="A5" s="32"/>
      <c r="B5" s="26"/>
      <c r="C5" s="25"/>
      <c r="D5" s="44" t="s">
        <v>104</v>
      </c>
      <c r="E5" s="45" t="s">
        <v>62</v>
      </c>
      <c r="F5" s="45" t="s">
        <v>106</v>
      </c>
      <c r="G5" s="46">
        <v>6.3540000000000001</v>
      </c>
      <c r="H5" s="47" t="s">
        <v>33</v>
      </c>
      <c r="I5" s="31" t="s">
        <v>51</v>
      </c>
    </row>
    <row r="6" spans="1:11" x14ac:dyDescent="0.25">
      <c r="A6" s="32"/>
      <c r="B6" s="26"/>
      <c r="C6" s="25"/>
      <c r="D6" s="44" t="s">
        <v>105</v>
      </c>
      <c r="E6" s="45" t="s">
        <v>62</v>
      </c>
      <c r="F6" s="45">
        <v>46175</v>
      </c>
      <c r="G6" s="46">
        <v>3.835</v>
      </c>
      <c r="H6" s="47" t="s">
        <v>33</v>
      </c>
      <c r="I6" s="31" t="s">
        <v>51</v>
      </c>
    </row>
    <row r="7" spans="1:11" x14ac:dyDescent="0.25">
      <c r="A7" s="48"/>
      <c r="B7" s="49"/>
      <c r="C7" s="50"/>
      <c r="D7" s="50"/>
      <c r="E7" s="52"/>
      <c r="F7" s="51"/>
      <c r="G7" s="53"/>
      <c r="H7" s="54"/>
      <c r="I7" s="53"/>
    </row>
    <row r="8" spans="1:11" x14ac:dyDescent="0.25">
      <c r="A8" s="32">
        <v>2</v>
      </c>
      <c r="B8" s="26" t="s">
        <v>95</v>
      </c>
      <c r="C8" s="25" t="s">
        <v>74</v>
      </c>
      <c r="D8" s="44" t="s">
        <v>90</v>
      </c>
      <c r="E8" s="45" t="s">
        <v>62</v>
      </c>
      <c r="F8" s="45" t="s">
        <v>85</v>
      </c>
      <c r="G8" s="46">
        <v>6.0570000000000004</v>
      </c>
      <c r="H8" s="47" t="s">
        <v>107</v>
      </c>
      <c r="I8" s="31" t="s">
        <v>108</v>
      </c>
    </row>
    <row r="9" spans="1:11" x14ac:dyDescent="0.25">
      <c r="A9" s="32"/>
      <c r="B9" s="26"/>
      <c r="C9" s="25"/>
      <c r="D9" s="44" t="s">
        <v>96</v>
      </c>
      <c r="E9" s="45" t="s">
        <v>62</v>
      </c>
      <c r="F9" s="45" t="s">
        <v>102</v>
      </c>
      <c r="G9" s="46">
        <v>8.1120000000000001</v>
      </c>
      <c r="H9" s="47" t="s">
        <v>107</v>
      </c>
      <c r="I9" s="31" t="s">
        <v>108</v>
      </c>
    </row>
    <row r="10" spans="1:11" x14ac:dyDescent="0.25">
      <c r="A10" s="32"/>
      <c r="B10" s="26"/>
      <c r="C10" s="25"/>
      <c r="D10" s="44" t="s">
        <v>97</v>
      </c>
      <c r="E10" s="45" t="s">
        <v>62</v>
      </c>
      <c r="F10" s="45" t="s">
        <v>102</v>
      </c>
      <c r="G10" s="46">
        <v>4.4340000000000002</v>
      </c>
      <c r="H10" s="47" t="s">
        <v>107</v>
      </c>
      <c r="I10" s="31" t="s">
        <v>108</v>
      </c>
    </row>
    <row r="11" spans="1:11" x14ac:dyDescent="0.25">
      <c r="A11" s="32"/>
      <c r="B11" s="26"/>
      <c r="C11" s="25"/>
      <c r="D11" s="44" t="s">
        <v>98</v>
      </c>
      <c r="E11" s="45" t="s">
        <v>62</v>
      </c>
      <c r="F11" s="45" t="s">
        <v>103</v>
      </c>
      <c r="G11" s="46">
        <v>0.251</v>
      </c>
      <c r="H11" s="47" t="s">
        <v>33</v>
      </c>
      <c r="I11" s="31" t="s">
        <v>108</v>
      </c>
    </row>
    <row r="12" spans="1:11" x14ac:dyDescent="0.25">
      <c r="A12" s="32"/>
      <c r="B12" s="26"/>
      <c r="C12" s="25"/>
      <c r="D12" s="44" t="s">
        <v>99</v>
      </c>
      <c r="E12" s="45" t="s">
        <v>62</v>
      </c>
      <c r="F12" s="45" t="s">
        <v>103</v>
      </c>
      <c r="G12" s="46">
        <v>0.19700000000000001</v>
      </c>
      <c r="H12" s="47" t="s">
        <v>33</v>
      </c>
      <c r="I12" s="31" t="s">
        <v>108</v>
      </c>
    </row>
    <row r="13" spans="1:11" x14ac:dyDescent="0.25">
      <c r="A13" s="32"/>
      <c r="B13" s="26"/>
      <c r="C13" s="25"/>
      <c r="D13" s="44" t="s">
        <v>100</v>
      </c>
      <c r="E13" s="45" t="s">
        <v>62</v>
      </c>
      <c r="F13" s="45" t="s">
        <v>103</v>
      </c>
      <c r="G13" s="46">
        <v>1.661</v>
      </c>
      <c r="H13" s="47" t="s">
        <v>33</v>
      </c>
      <c r="I13" s="31" t="s">
        <v>108</v>
      </c>
    </row>
    <row r="14" spans="1:11" x14ac:dyDescent="0.25">
      <c r="A14" s="32"/>
      <c r="B14" s="26"/>
      <c r="C14" s="25"/>
      <c r="D14" s="44" t="s">
        <v>378</v>
      </c>
      <c r="E14" s="45" t="s">
        <v>62</v>
      </c>
      <c r="F14" s="45">
        <v>46028</v>
      </c>
      <c r="G14" s="46">
        <v>0.13100000000000001</v>
      </c>
      <c r="H14" s="47" t="s">
        <v>35</v>
      </c>
      <c r="I14" s="31" t="s">
        <v>14</v>
      </c>
    </row>
    <row r="15" spans="1:11" x14ac:dyDescent="0.25">
      <c r="A15" s="48"/>
      <c r="B15" s="49"/>
      <c r="C15" s="50"/>
      <c r="D15" s="50"/>
      <c r="E15" s="52"/>
      <c r="F15" s="51"/>
      <c r="G15" s="53"/>
      <c r="H15" s="54"/>
      <c r="I15" s="53"/>
    </row>
    <row r="16" spans="1:11" x14ac:dyDescent="0.25">
      <c r="A16" s="32">
        <v>3</v>
      </c>
      <c r="B16" s="26" t="s">
        <v>126</v>
      </c>
      <c r="C16" s="25" t="s">
        <v>74</v>
      </c>
      <c r="D16" s="44" t="s">
        <v>29</v>
      </c>
      <c r="E16" s="45" t="s">
        <v>62</v>
      </c>
      <c r="F16" s="45" t="s">
        <v>85</v>
      </c>
      <c r="G16" s="46">
        <v>13.923</v>
      </c>
      <c r="H16" s="47" t="s">
        <v>15</v>
      </c>
      <c r="I16" s="31" t="s">
        <v>13</v>
      </c>
    </row>
    <row r="17" spans="1:9" x14ac:dyDescent="0.25">
      <c r="A17" s="32"/>
      <c r="B17" s="26"/>
      <c r="C17" s="25"/>
      <c r="D17" s="44" t="s">
        <v>53</v>
      </c>
      <c r="E17" s="45" t="s">
        <v>62</v>
      </c>
      <c r="F17" s="45" t="s">
        <v>125</v>
      </c>
      <c r="G17" s="46">
        <v>0.51600000000000001</v>
      </c>
      <c r="H17" s="47" t="s">
        <v>94</v>
      </c>
      <c r="I17" s="31" t="s">
        <v>108</v>
      </c>
    </row>
    <row r="18" spans="1:9" x14ac:dyDescent="0.25">
      <c r="A18" s="32"/>
      <c r="B18" s="26"/>
      <c r="C18" s="25"/>
      <c r="D18" s="44" t="s">
        <v>122</v>
      </c>
      <c r="E18" s="45" t="s">
        <v>62</v>
      </c>
      <c r="F18" s="45" t="s">
        <v>78</v>
      </c>
      <c r="G18" s="46">
        <v>9.7010000000000005</v>
      </c>
      <c r="H18" s="47" t="s">
        <v>94</v>
      </c>
      <c r="I18" s="31" t="s">
        <v>108</v>
      </c>
    </row>
    <row r="19" spans="1:9" x14ac:dyDescent="0.25">
      <c r="A19" s="32"/>
      <c r="B19" s="26"/>
      <c r="C19" s="25"/>
      <c r="D19" s="44" t="s">
        <v>123</v>
      </c>
      <c r="E19" s="45" t="s">
        <v>62</v>
      </c>
      <c r="F19" s="45" t="s">
        <v>78</v>
      </c>
      <c r="G19" s="46">
        <v>9.4890000000000008</v>
      </c>
      <c r="H19" s="47" t="s">
        <v>94</v>
      </c>
      <c r="I19" s="31" t="s">
        <v>108</v>
      </c>
    </row>
    <row r="20" spans="1:9" x14ac:dyDescent="0.25">
      <c r="A20" s="48"/>
      <c r="B20" s="49"/>
      <c r="C20" s="50"/>
      <c r="D20" s="50"/>
      <c r="E20" s="52"/>
      <c r="F20" s="51"/>
      <c r="G20" s="53"/>
      <c r="H20" s="54"/>
      <c r="I20" s="53"/>
    </row>
    <row r="21" spans="1:9" x14ac:dyDescent="0.25">
      <c r="A21" s="32">
        <v>4</v>
      </c>
      <c r="B21" s="26" t="s">
        <v>75</v>
      </c>
      <c r="C21" s="25" t="s">
        <v>74</v>
      </c>
      <c r="D21" s="44" t="s">
        <v>90</v>
      </c>
      <c r="E21" s="45" t="s">
        <v>62</v>
      </c>
      <c r="F21" s="45" t="s">
        <v>81</v>
      </c>
      <c r="G21" s="46">
        <v>2.5979999999999999</v>
      </c>
      <c r="H21" s="47" t="s">
        <v>131</v>
      </c>
      <c r="I21" s="31" t="s">
        <v>108</v>
      </c>
    </row>
    <row r="22" spans="1:9" x14ac:dyDescent="0.25">
      <c r="A22" s="32"/>
      <c r="B22" s="26"/>
      <c r="C22" s="25"/>
      <c r="D22" s="44" t="s">
        <v>127</v>
      </c>
      <c r="E22" s="45" t="s">
        <v>62</v>
      </c>
      <c r="F22" s="45">
        <v>46083</v>
      </c>
      <c r="G22" s="46">
        <v>2.1520000000000001</v>
      </c>
      <c r="H22" s="47" t="s">
        <v>131</v>
      </c>
      <c r="I22" s="31" t="s">
        <v>108</v>
      </c>
    </row>
    <row r="23" spans="1:9" x14ac:dyDescent="0.25">
      <c r="A23" s="32"/>
      <c r="B23" s="26"/>
      <c r="C23" s="25"/>
      <c r="D23" s="44" t="s">
        <v>128</v>
      </c>
      <c r="E23" s="45" t="s">
        <v>62</v>
      </c>
      <c r="F23" s="45" t="s">
        <v>130</v>
      </c>
      <c r="G23" s="46">
        <v>2.5870000000000002</v>
      </c>
      <c r="H23" s="47" t="s">
        <v>31</v>
      </c>
      <c r="I23" s="31" t="s">
        <v>108</v>
      </c>
    </row>
    <row r="24" spans="1:9" x14ac:dyDescent="0.25">
      <c r="A24" s="32"/>
      <c r="B24" s="26"/>
      <c r="C24" s="25"/>
      <c r="D24" s="44" t="s">
        <v>129</v>
      </c>
      <c r="E24" s="45" t="s">
        <v>62</v>
      </c>
      <c r="F24" s="45">
        <v>46056</v>
      </c>
      <c r="G24" s="46">
        <v>1.643</v>
      </c>
      <c r="H24" s="47" t="s">
        <v>132</v>
      </c>
      <c r="I24" s="31" t="s">
        <v>108</v>
      </c>
    </row>
    <row r="25" spans="1:9" x14ac:dyDescent="0.25">
      <c r="A25" s="48"/>
      <c r="B25" s="49"/>
      <c r="C25" s="50"/>
      <c r="D25" s="50"/>
      <c r="E25" s="52"/>
      <c r="F25" s="51"/>
      <c r="G25" s="53"/>
      <c r="H25" s="54"/>
      <c r="I25" s="53"/>
    </row>
    <row r="26" spans="1:9" x14ac:dyDescent="0.25">
      <c r="A26" s="32">
        <v>5</v>
      </c>
      <c r="B26" s="26" t="s">
        <v>84</v>
      </c>
      <c r="C26" s="25" t="s">
        <v>74</v>
      </c>
      <c r="D26" s="44" t="s">
        <v>90</v>
      </c>
      <c r="E26" s="45" t="s">
        <v>62</v>
      </c>
      <c r="F26" s="45" t="s">
        <v>101</v>
      </c>
      <c r="G26" s="46">
        <v>5.0410000000000004</v>
      </c>
      <c r="H26" s="47" t="s">
        <v>94</v>
      </c>
      <c r="I26" s="31" t="s">
        <v>13</v>
      </c>
    </row>
    <row r="27" spans="1:9" x14ac:dyDescent="0.25">
      <c r="A27" s="32"/>
      <c r="B27" s="26"/>
      <c r="C27" s="25"/>
      <c r="D27" s="44" t="s">
        <v>91</v>
      </c>
      <c r="E27" s="45" t="s">
        <v>62</v>
      </c>
      <c r="F27" s="45" t="s">
        <v>93</v>
      </c>
      <c r="G27" s="46">
        <v>6.9139999999999997</v>
      </c>
      <c r="H27" s="47" t="s">
        <v>94</v>
      </c>
      <c r="I27" s="31" t="s">
        <v>13</v>
      </c>
    </row>
    <row r="28" spans="1:9" x14ac:dyDescent="0.25">
      <c r="A28" s="32"/>
      <c r="B28" s="26"/>
      <c r="C28" s="25"/>
      <c r="D28" s="44" t="s">
        <v>92</v>
      </c>
      <c r="E28" s="45" t="s">
        <v>62</v>
      </c>
      <c r="F28" s="45" t="s">
        <v>93</v>
      </c>
      <c r="G28" s="46">
        <v>6.7220000000000004</v>
      </c>
      <c r="H28" s="47" t="s">
        <v>94</v>
      </c>
      <c r="I28" s="31" t="s">
        <v>13</v>
      </c>
    </row>
    <row r="29" spans="1:9" x14ac:dyDescent="0.25">
      <c r="A29" s="48"/>
      <c r="B29" s="49"/>
      <c r="C29" s="50"/>
      <c r="D29" s="50"/>
      <c r="E29" s="52"/>
      <c r="F29" s="51"/>
      <c r="G29" s="53"/>
      <c r="H29" s="54"/>
      <c r="I29" s="53"/>
    </row>
    <row r="30" spans="1:9" x14ac:dyDescent="0.25">
      <c r="A30" s="32">
        <v>6</v>
      </c>
      <c r="B30" s="26" t="s">
        <v>109</v>
      </c>
      <c r="C30" s="25" t="s">
        <v>74</v>
      </c>
      <c r="D30" s="44" t="s">
        <v>110</v>
      </c>
      <c r="E30" s="45" t="s">
        <v>62</v>
      </c>
      <c r="F30" s="45" t="s">
        <v>116</v>
      </c>
      <c r="G30" s="46">
        <v>16.64</v>
      </c>
      <c r="H30" s="47" t="s">
        <v>35</v>
      </c>
      <c r="I30" s="31" t="s">
        <v>51</v>
      </c>
    </row>
    <row r="31" spans="1:9" x14ac:dyDescent="0.25">
      <c r="A31" s="32"/>
      <c r="B31" s="26"/>
      <c r="C31" s="25"/>
      <c r="D31" s="44" t="s">
        <v>111</v>
      </c>
      <c r="E31" s="45" t="s">
        <v>62</v>
      </c>
      <c r="F31" s="45" t="s">
        <v>117</v>
      </c>
      <c r="G31" s="46">
        <v>5.3010000000000002</v>
      </c>
      <c r="H31" s="47" t="s">
        <v>35</v>
      </c>
      <c r="I31" s="31" t="s">
        <v>120</v>
      </c>
    </row>
    <row r="32" spans="1:9" x14ac:dyDescent="0.25">
      <c r="A32" s="32"/>
      <c r="B32" s="26"/>
      <c r="C32" s="25"/>
      <c r="D32" s="44" t="s">
        <v>112</v>
      </c>
      <c r="E32" s="45" t="s">
        <v>62</v>
      </c>
      <c r="F32" s="45" t="s">
        <v>117</v>
      </c>
      <c r="G32" s="46">
        <v>17.952999999999999</v>
      </c>
      <c r="H32" s="47" t="s">
        <v>33</v>
      </c>
      <c r="I32" s="31" t="s">
        <v>51</v>
      </c>
    </row>
    <row r="33" spans="1:9" x14ac:dyDescent="0.25">
      <c r="A33" s="32"/>
      <c r="B33" s="26"/>
      <c r="C33" s="25"/>
      <c r="D33" s="44" t="s">
        <v>113</v>
      </c>
      <c r="E33" s="45" t="s">
        <v>62</v>
      </c>
      <c r="F33" s="45" t="s">
        <v>116</v>
      </c>
      <c r="G33" s="46">
        <v>0.67500000000000004</v>
      </c>
      <c r="H33" s="47" t="s">
        <v>35</v>
      </c>
      <c r="I33" s="31" t="s">
        <v>51</v>
      </c>
    </row>
    <row r="34" spans="1:9" x14ac:dyDescent="0.25">
      <c r="A34" s="32"/>
      <c r="B34" s="26"/>
      <c r="C34" s="25"/>
      <c r="D34" s="44" t="s">
        <v>114</v>
      </c>
      <c r="E34" s="45" t="s">
        <v>62</v>
      </c>
      <c r="F34" s="45" t="s">
        <v>118</v>
      </c>
      <c r="G34" s="46">
        <v>7.23</v>
      </c>
      <c r="H34" s="47" t="s">
        <v>35</v>
      </c>
      <c r="I34" s="31" t="s">
        <v>51</v>
      </c>
    </row>
    <row r="35" spans="1:9" x14ac:dyDescent="0.25">
      <c r="A35" s="32"/>
      <c r="B35" s="26"/>
      <c r="C35" s="25"/>
      <c r="D35" s="44" t="s">
        <v>115</v>
      </c>
      <c r="E35" s="45" t="s">
        <v>62</v>
      </c>
      <c r="F35" s="45" t="s">
        <v>119</v>
      </c>
      <c r="G35" s="46">
        <v>7.875</v>
      </c>
      <c r="H35" s="47" t="s">
        <v>35</v>
      </c>
      <c r="I35" s="31" t="s">
        <v>51</v>
      </c>
    </row>
    <row r="36" spans="1:9" x14ac:dyDescent="0.25">
      <c r="A36" s="48"/>
      <c r="B36" s="49"/>
      <c r="C36" s="50"/>
      <c r="D36" s="50"/>
      <c r="E36" s="52"/>
      <c r="F36" s="51"/>
      <c r="G36" s="53"/>
      <c r="H36" s="54"/>
      <c r="I36" s="53"/>
    </row>
    <row r="37" spans="1:9" x14ac:dyDescent="0.25">
      <c r="A37" s="32">
        <v>7</v>
      </c>
      <c r="B37" s="26" t="s">
        <v>121</v>
      </c>
      <c r="C37" s="25" t="s">
        <v>74</v>
      </c>
      <c r="D37" s="44" t="s">
        <v>29</v>
      </c>
      <c r="E37" s="45" t="s">
        <v>62</v>
      </c>
      <c r="F37" s="45" t="s">
        <v>83</v>
      </c>
      <c r="G37" s="46">
        <v>9.4740000000000002</v>
      </c>
      <c r="H37" s="47" t="s">
        <v>15</v>
      </c>
      <c r="I37" s="31" t="s">
        <v>13</v>
      </c>
    </row>
    <row r="38" spans="1:9" x14ac:dyDescent="0.25">
      <c r="A38" s="32"/>
      <c r="B38" s="26"/>
      <c r="C38" s="25"/>
      <c r="D38" s="44" t="s">
        <v>53</v>
      </c>
      <c r="E38" s="45" t="s">
        <v>62</v>
      </c>
      <c r="F38" s="45">
        <v>46084</v>
      </c>
      <c r="G38" s="46">
        <v>1.208</v>
      </c>
      <c r="H38" s="47" t="s">
        <v>33</v>
      </c>
      <c r="I38" s="31" t="s">
        <v>13</v>
      </c>
    </row>
    <row r="39" spans="1:9" x14ac:dyDescent="0.25">
      <c r="A39" s="32"/>
      <c r="B39" s="26"/>
      <c r="C39" s="25"/>
      <c r="D39" s="44" t="s">
        <v>122</v>
      </c>
      <c r="E39" s="45" t="s">
        <v>62</v>
      </c>
      <c r="F39" s="45">
        <v>46268</v>
      </c>
      <c r="G39" s="46">
        <v>15.747</v>
      </c>
      <c r="H39" s="47" t="s">
        <v>28</v>
      </c>
      <c r="I39" s="31" t="s">
        <v>13</v>
      </c>
    </row>
    <row r="40" spans="1:9" x14ac:dyDescent="0.25">
      <c r="A40" s="32"/>
      <c r="B40" s="26"/>
      <c r="C40" s="25"/>
      <c r="D40" s="44" t="s">
        <v>123</v>
      </c>
      <c r="E40" s="45" t="s">
        <v>62</v>
      </c>
      <c r="F40" s="45" t="s">
        <v>124</v>
      </c>
      <c r="G40" s="46">
        <v>2.9039999999999999</v>
      </c>
      <c r="H40" s="47" t="s">
        <v>33</v>
      </c>
      <c r="I40" s="31" t="s">
        <v>108</v>
      </c>
    </row>
    <row r="41" spans="1:9" x14ac:dyDescent="0.25">
      <c r="A41" s="32"/>
      <c r="B41" s="26"/>
      <c r="C41" s="25"/>
      <c r="D41" s="44" t="s">
        <v>421</v>
      </c>
      <c r="E41" s="45" t="s">
        <v>62</v>
      </c>
      <c r="F41" s="45">
        <v>46199</v>
      </c>
      <c r="G41" s="46">
        <v>0.61899999999999999</v>
      </c>
      <c r="H41" s="47" t="s">
        <v>33</v>
      </c>
      <c r="I41" s="31" t="s">
        <v>427</v>
      </c>
    </row>
    <row r="42" spans="1:9" x14ac:dyDescent="0.25">
      <c r="A42" s="48"/>
      <c r="B42" s="49"/>
      <c r="C42" s="50"/>
      <c r="D42" s="50"/>
      <c r="E42" s="52"/>
      <c r="F42" s="51"/>
      <c r="G42" s="53"/>
      <c r="H42" s="54"/>
      <c r="I42" s="53"/>
    </row>
    <row r="43" spans="1:9" x14ac:dyDescent="0.25">
      <c r="A43" s="32">
        <v>8</v>
      </c>
      <c r="B43" s="26" t="s">
        <v>256</v>
      </c>
      <c r="C43" s="25" t="s">
        <v>74</v>
      </c>
      <c r="D43" s="44" t="s">
        <v>135</v>
      </c>
      <c r="E43" s="45" t="s">
        <v>62</v>
      </c>
      <c r="F43" s="45" t="s">
        <v>102</v>
      </c>
      <c r="G43" s="46">
        <v>0.76400000000000001</v>
      </c>
      <c r="H43" s="47" t="s">
        <v>15</v>
      </c>
      <c r="I43" s="31" t="s">
        <v>51</v>
      </c>
    </row>
    <row r="44" spans="1:9" x14ac:dyDescent="0.25">
      <c r="A44" s="32"/>
      <c r="B44" s="26"/>
      <c r="C44" s="25"/>
      <c r="D44" s="44" t="s">
        <v>140</v>
      </c>
      <c r="E44" s="45" t="s">
        <v>62</v>
      </c>
      <c r="F44" s="45" t="s">
        <v>102</v>
      </c>
      <c r="G44" s="46">
        <v>1.8180000000000001</v>
      </c>
      <c r="H44" s="47" t="s">
        <v>15</v>
      </c>
      <c r="I44" s="31" t="s">
        <v>51</v>
      </c>
    </row>
    <row r="45" spans="1:9" x14ac:dyDescent="0.25">
      <c r="A45" s="48"/>
      <c r="B45" s="49"/>
      <c r="C45" s="50"/>
      <c r="D45" s="50"/>
      <c r="E45" s="52"/>
      <c r="F45" s="51"/>
      <c r="G45" s="53"/>
      <c r="H45" s="54"/>
      <c r="I45" s="53"/>
    </row>
    <row r="46" spans="1:9" x14ac:dyDescent="0.25">
      <c r="A46" s="32">
        <v>9</v>
      </c>
      <c r="B46" s="26" t="s">
        <v>76</v>
      </c>
      <c r="C46" s="25" t="s">
        <v>74</v>
      </c>
      <c r="D46" s="44" t="s">
        <v>167</v>
      </c>
      <c r="E46" s="45" t="s">
        <v>62</v>
      </c>
      <c r="F46" s="45">
        <v>46114</v>
      </c>
      <c r="G46" s="46">
        <v>5.907</v>
      </c>
      <c r="H46" s="47" t="s">
        <v>31</v>
      </c>
      <c r="I46" s="31" t="s">
        <v>13</v>
      </c>
    </row>
    <row r="47" spans="1:9" x14ac:dyDescent="0.25">
      <c r="A47" s="32"/>
      <c r="B47" s="26"/>
      <c r="C47" s="25"/>
      <c r="D47" s="44" t="s">
        <v>168</v>
      </c>
      <c r="E47" s="45" t="s">
        <v>62</v>
      </c>
      <c r="F47" s="45" t="s">
        <v>169</v>
      </c>
      <c r="G47" s="46">
        <v>1.335</v>
      </c>
      <c r="H47" s="47" t="s">
        <v>31</v>
      </c>
      <c r="I47" s="31" t="s">
        <v>13</v>
      </c>
    </row>
    <row r="48" spans="1:9" x14ac:dyDescent="0.25">
      <c r="A48" s="32"/>
      <c r="B48" s="26"/>
      <c r="C48" s="25"/>
      <c r="D48" s="44" t="s">
        <v>122</v>
      </c>
      <c r="E48" s="45" t="s">
        <v>62</v>
      </c>
      <c r="F48" s="45">
        <v>46115</v>
      </c>
      <c r="G48" s="46">
        <v>27.934999999999999</v>
      </c>
      <c r="H48" s="47" t="s">
        <v>31</v>
      </c>
      <c r="I48" s="31" t="s">
        <v>13</v>
      </c>
    </row>
    <row r="49" spans="1:9" x14ac:dyDescent="0.25">
      <c r="A49" s="32"/>
      <c r="B49" s="26"/>
      <c r="C49" s="25"/>
      <c r="D49" s="44" t="s">
        <v>156</v>
      </c>
      <c r="E49" s="45" t="s">
        <v>62</v>
      </c>
      <c r="F49" s="45">
        <v>46176</v>
      </c>
      <c r="G49" s="46">
        <v>2.141</v>
      </c>
      <c r="H49" s="47" t="s">
        <v>31</v>
      </c>
      <c r="I49" s="31" t="s">
        <v>13</v>
      </c>
    </row>
    <row r="50" spans="1:9" x14ac:dyDescent="0.25">
      <c r="A50" s="48"/>
      <c r="B50" s="49"/>
      <c r="C50" s="50"/>
      <c r="D50" s="50"/>
      <c r="E50" s="52"/>
      <c r="F50" s="51"/>
      <c r="G50" s="53"/>
      <c r="H50" s="54"/>
      <c r="I50" s="53"/>
    </row>
    <row r="51" spans="1:9" x14ac:dyDescent="0.25">
      <c r="A51" s="32">
        <v>10</v>
      </c>
      <c r="B51" s="26" t="s">
        <v>82</v>
      </c>
      <c r="C51" s="25" t="s">
        <v>74</v>
      </c>
      <c r="D51" s="44" t="s">
        <v>90</v>
      </c>
      <c r="E51" s="45" t="s">
        <v>62</v>
      </c>
      <c r="F51" s="45">
        <v>46144</v>
      </c>
      <c r="G51" s="46">
        <v>0.25600000000000001</v>
      </c>
      <c r="H51" s="47" t="s">
        <v>94</v>
      </c>
      <c r="I51" s="31" t="s">
        <v>13</v>
      </c>
    </row>
    <row r="52" spans="1:9" x14ac:dyDescent="0.25">
      <c r="A52" s="32"/>
      <c r="B52" s="26"/>
      <c r="C52" s="25"/>
      <c r="D52" s="44" t="s">
        <v>133</v>
      </c>
      <c r="E52" s="45" t="s">
        <v>62</v>
      </c>
      <c r="F52" s="45">
        <v>46056</v>
      </c>
      <c r="G52" s="46">
        <v>0.83399999999999996</v>
      </c>
      <c r="H52" s="47" t="s">
        <v>94</v>
      </c>
      <c r="I52" s="31" t="s">
        <v>13</v>
      </c>
    </row>
    <row r="53" spans="1:9" x14ac:dyDescent="0.25">
      <c r="A53" s="48"/>
      <c r="B53" s="49"/>
      <c r="C53" s="50"/>
      <c r="D53" s="50"/>
      <c r="E53" s="52"/>
      <c r="F53" s="51"/>
      <c r="G53" s="53"/>
      <c r="H53" s="54"/>
      <c r="I53" s="53"/>
    </row>
    <row r="54" spans="1:9" x14ac:dyDescent="0.25">
      <c r="A54" s="32">
        <v>11</v>
      </c>
      <c r="B54" s="26" t="s">
        <v>60</v>
      </c>
      <c r="C54" s="25" t="s">
        <v>74</v>
      </c>
      <c r="D54" s="44" t="s">
        <v>90</v>
      </c>
      <c r="E54" s="45" t="s">
        <v>62</v>
      </c>
      <c r="F54" s="45" t="s">
        <v>125</v>
      </c>
      <c r="G54" s="46">
        <v>11.285</v>
      </c>
      <c r="H54" s="47" t="s">
        <v>33</v>
      </c>
      <c r="I54" s="31" t="s">
        <v>51</v>
      </c>
    </row>
    <row r="55" spans="1:9" x14ac:dyDescent="0.25">
      <c r="A55" s="32"/>
      <c r="B55" s="26"/>
      <c r="C55" s="25"/>
      <c r="D55" s="44" t="s">
        <v>140</v>
      </c>
      <c r="E55" s="45" t="s">
        <v>62</v>
      </c>
      <c r="F55" s="45" t="s">
        <v>130</v>
      </c>
      <c r="G55" s="46">
        <v>6.3639999999999999</v>
      </c>
      <c r="H55" s="47" t="s">
        <v>33</v>
      </c>
      <c r="I55" s="31" t="s">
        <v>51</v>
      </c>
    </row>
    <row r="56" spans="1:9" x14ac:dyDescent="0.25">
      <c r="A56" s="48"/>
      <c r="B56" s="56"/>
      <c r="C56" s="50"/>
      <c r="D56" s="50"/>
      <c r="E56" s="52"/>
      <c r="F56" s="51"/>
      <c r="G56" s="53"/>
      <c r="H56" s="57"/>
      <c r="I56" s="53"/>
    </row>
    <row r="57" spans="1:9" x14ac:dyDescent="0.25">
      <c r="A57" s="32">
        <v>12</v>
      </c>
      <c r="B57" s="26" t="s">
        <v>38</v>
      </c>
      <c r="C57" s="25" t="s">
        <v>74</v>
      </c>
      <c r="D57" s="44" t="s">
        <v>145</v>
      </c>
      <c r="E57" s="45" t="s">
        <v>62</v>
      </c>
      <c r="F57" s="45" t="s">
        <v>142</v>
      </c>
      <c r="G57" s="46">
        <v>13.887</v>
      </c>
      <c r="H57" s="47" t="s">
        <v>107</v>
      </c>
      <c r="I57" s="31" t="s">
        <v>51</v>
      </c>
    </row>
    <row r="58" spans="1:9" x14ac:dyDescent="0.25">
      <c r="A58" s="32"/>
      <c r="B58" s="26"/>
      <c r="C58" s="25"/>
      <c r="D58" s="44" t="s">
        <v>144</v>
      </c>
      <c r="E58" s="45" t="s">
        <v>62</v>
      </c>
      <c r="F58" s="45" t="s">
        <v>77</v>
      </c>
      <c r="G58" s="46">
        <v>5.577</v>
      </c>
      <c r="H58" s="47" t="s">
        <v>107</v>
      </c>
      <c r="I58" s="31" t="s">
        <v>51</v>
      </c>
    </row>
    <row r="59" spans="1:9" x14ac:dyDescent="0.25">
      <c r="A59" s="32"/>
      <c r="B59" s="26"/>
      <c r="C59" s="25"/>
      <c r="D59" s="44" t="s">
        <v>143</v>
      </c>
      <c r="E59" s="45" t="s">
        <v>62</v>
      </c>
      <c r="F59" s="45">
        <v>46359</v>
      </c>
      <c r="G59" s="46">
        <v>22.202000000000002</v>
      </c>
      <c r="H59" s="47" t="s">
        <v>107</v>
      </c>
      <c r="I59" s="31" t="s">
        <v>13</v>
      </c>
    </row>
    <row r="60" spans="1:9" x14ac:dyDescent="0.25">
      <c r="A60" s="32"/>
      <c r="B60" s="26"/>
      <c r="C60" s="25"/>
      <c r="D60" s="44" t="s">
        <v>146</v>
      </c>
      <c r="E60" s="45" t="s">
        <v>62</v>
      </c>
      <c r="F60" s="45" t="s">
        <v>141</v>
      </c>
      <c r="G60" s="46">
        <v>4.1589999999999998</v>
      </c>
      <c r="H60" s="47" t="s">
        <v>107</v>
      </c>
      <c r="I60" s="31" t="s">
        <v>13</v>
      </c>
    </row>
    <row r="61" spans="1:9" x14ac:dyDescent="0.25">
      <c r="A61" s="32"/>
      <c r="B61" s="26"/>
      <c r="C61" s="25"/>
      <c r="D61" s="44" t="s">
        <v>151</v>
      </c>
      <c r="E61" s="45" t="s">
        <v>62</v>
      </c>
      <c r="F61" s="45" t="s">
        <v>147</v>
      </c>
      <c r="G61" s="46">
        <v>10.827999999999999</v>
      </c>
      <c r="H61" s="47" t="s">
        <v>107</v>
      </c>
      <c r="I61" s="31" t="s">
        <v>13</v>
      </c>
    </row>
    <row r="62" spans="1:9" x14ac:dyDescent="0.25">
      <c r="A62" s="32"/>
      <c r="B62" s="26"/>
      <c r="C62" s="25"/>
      <c r="D62" s="44" t="s">
        <v>150</v>
      </c>
      <c r="E62" s="45" t="s">
        <v>62</v>
      </c>
      <c r="F62" s="45" t="s">
        <v>149</v>
      </c>
      <c r="G62" s="46">
        <v>1.7090000000000001</v>
      </c>
      <c r="H62" s="47" t="s">
        <v>107</v>
      </c>
      <c r="I62" s="31" t="s">
        <v>13</v>
      </c>
    </row>
    <row r="63" spans="1:9" x14ac:dyDescent="0.25">
      <c r="A63" s="32"/>
      <c r="B63" s="26"/>
      <c r="C63" s="25"/>
      <c r="D63" s="44" t="s">
        <v>148</v>
      </c>
      <c r="E63" s="45" t="s">
        <v>62</v>
      </c>
      <c r="F63" s="45" t="s">
        <v>149</v>
      </c>
      <c r="G63" s="46">
        <v>1.544</v>
      </c>
      <c r="H63" s="47" t="s">
        <v>107</v>
      </c>
      <c r="I63" s="31" t="s">
        <v>13</v>
      </c>
    </row>
    <row r="64" spans="1:9" x14ac:dyDescent="0.25">
      <c r="A64" s="48"/>
      <c r="B64" s="56"/>
      <c r="C64" s="50"/>
      <c r="D64" s="50"/>
      <c r="E64" s="52"/>
      <c r="F64" s="51"/>
      <c r="G64" s="53"/>
      <c r="H64" s="57"/>
      <c r="I64" s="53"/>
    </row>
    <row r="65" spans="1:9" x14ac:dyDescent="0.25">
      <c r="A65" s="32">
        <v>13</v>
      </c>
      <c r="B65" s="26" t="s">
        <v>134</v>
      </c>
      <c r="C65" s="25" t="s">
        <v>74</v>
      </c>
      <c r="D65" s="44" t="s">
        <v>135</v>
      </c>
      <c r="E65" s="45" t="s">
        <v>62</v>
      </c>
      <c r="F65" s="45" t="s">
        <v>78</v>
      </c>
      <c r="G65" s="46">
        <v>12.305999999999999</v>
      </c>
      <c r="H65" s="47" t="s">
        <v>136</v>
      </c>
      <c r="I65" s="31"/>
    </row>
    <row r="66" spans="1:9" x14ac:dyDescent="0.25">
      <c r="A66" s="32"/>
      <c r="B66" s="26"/>
      <c r="C66" s="25"/>
      <c r="D66" s="44" t="s">
        <v>137</v>
      </c>
      <c r="E66" s="45" t="s">
        <v>62</v>
      </c>
      <c r="F66" s="45" t="s">
        <v>138</v>
      </c>
      <c r="G66" s="46">
        <v>6.1680000000000001</v>
      </c>
      <c r="H66" s="47" t="s">
        <v>131</v>
      </c>
      <c r="I66" s="31" t="s">
        <v>13</v>
      </c>
    </row>
    <row r="67" spans="1:9" x14ac:dyDescent="0.25">
      <c r="A67" s="48"/>
      <c r="B67" s="56"/>
      <c r="C67" s="50"/>
      <c r="D67" s="50"/>
      <c r="E67" s="52"/>
      <c r="F67" s="51"/>
      <c r="G67" s="53"/>
      <c r="H67" s="57"/>
      <c r="I67" s="53"/>
    </row>
    <row r="68" spans="1:9" x14ac:dyDescent="0.25">
      <c r="A68" s="32">
        <v>14</v>
      </c>
      <c r="B68" s="26" t="s">
        <v>162</v>
      </c>
      <c r="C68" s="25" t="s">
        <v>74</v>
      </c>
      <c r="D68" s="44" t="s">
        <v>90</v>
      </c>
      <c r="E68" s="45" t="s">
        <v>62</v>
      </c>
      <c r="F68" s="45" t="s">
        <v>142</v>
      </c>
      <c r="G68" s="46">
        <v>3.9910000000000001</v>
      </c>
      <c r="H68" s="47" t="s">
        <v>164</v>
      </c>
      <c r="I68" s="31" t="s">
        <v>120</v>
      </c>
    </row>
    <row r="69" spans="1:9" x14ac:dyDescent="0.25">
      <c r="A69" s="32"/>
      <c r="B69" s="26"/>
      <c r="C69" s="25"/>
      <c r="D69" s="44" t="s">
        <v>122</v>
      </c>
      <c r="E69" s="45" t="s">
        <v>62</v>
      </c>
      <c r="F69" s="45" t="s">
        <v>163</v>
      </c>
      <c r="G69" s="46">
        <v>9.3089999999999993</v>
      </c>
      <c r="H69" s="47" t="s">
        <v>50</v>
      </c>
      <c r="I69" s="31" t="s">
        <v>108</v>
      </c>
    </row>
    <row r="70" spans="1:9" x14ac:dyDescent="0.25">
      <c r="A70" s="32"/>
      <c r="B70" s="26"/>
      <c r="C70" s="25"/>
      <c r="D70" s="44" t="s">
        <v>156</v>
      </c>
      <c r="E70" s="45" t="s">
        <v>62</v>
      </c>
      <c r="F70" s="45" t="s">
        <v>159</v>
      </c>
      <c r="G70" s="46">
        <v>2.7869999999999999</v>
      </c>
      <c r="H70" s="47" t="s">
        <v>33</v>
      </c>
      <c r="I70" s="31" t="s">
        <v>108</v>
      </c>
    </row>
    <row r="71" spans="1:9" x14ac:dyDescent="0.25">
      <c r="A71" s="48"/>
      <c r="B71" s="56"/>
      <c r="C71" s="50"/>
      <c r="D71" s="50"/>
      <c r="E71" s="52"/>
      <c r="F71" s="51"/>
      <c r="G71" s="53"/>
      <c r="H71" s="57"/>
      <c r="I71" s="53"/>
    </row>
    <row r="72" spans="1:9" x14ac:dyDescent="0.25">
      <c r="A72" s="32">
        <v>15</v>
      </c>
      <c r="B72" s="26" t="s">
        <v>160</v>
      </c>
      <c r="C72" s="25" t="s">
        <v>74</v>
      </c>
      <c r="D72" s="44" t="s">
        <v>90</v>
      </c>
      <c r="E72" s="45" t="s">
        <v>62</v>
      </c>
      <c r="F72" s="45" t="s">
        <v>159</v>
      </c>
      <c r="G72" s="46">
        <v>16.785</v>
      </c>
      <c r="H72" s="47" t="s">
        <v>32</v>
      </c>
      <c r="I72" s="31" t="s">
        <v>13</v>
      </c>
    </row>
    <row r="73" spans="1:9" x14ac:dyDescent="0.25">
      <c r="A73" s="32"/>
      <c r="B73" s="26"/>
      <c r="C73" s="25"/>
      <c r="D73" s="44" t="s">
        <v>146</v>
      </c>
      <c r="E73" s="45" t="s">
        <v>62</v>
      </c>
      <c r="F73" s="45" t="s">
        <v>262</v>
      </c>
      <c r="G73" s="46">
        <v>1.331</v>
      </c>
      <c r="H73" s="47" t="s">
        <v>32</v>
      </c>
      <c r="I73" s="31" t="s">
        <v>243</v>
      </c>
    </row>
    <row r="74" spans="1:9" x14ac:dyDescent="0.25">
      <c r="A74" s="32"/>
      <c r="B74" s="26"/>
      <c r="C74" s="25"/>
      <c r="D74" s="44" t="s">
        <v>281</v>
      </c>
      <c r="E74" s="45" t="s">
        <v>62</v>
      </c>
      <c r="F74" s="45" t="s">
        <v>262</v>
      </c>
      <c r="G74" s="46">
        <v>3.234</v>
      </c>
      <c r="H74" s="47" t="s">
        <v>32</v>
      </c>
      <c r="I74" s="31" t="s">
        <v>243</v>
      </c>
    </row>
    <row r="75" spans="1:9" x14ac:dyDescent="0.25">
      <c r="A75" s="32"/>
      <c r="B75" s="26"/>
      <c r="C75" s="25"/>
      <c r="D75" s="44" t="s">
        <v>282</v>
      </c>
      <c r="E75" s="45" t="s">
        <v>62</v>
      </c>
      <c r="F75" s="45" t="s">
        <v>417</v>
      </c>
      <c r="G75" s="46">
        <v>1.0189999999999999</v>
      </c>
      <c r="H75" s="47" t="s">
        <v>32</v>
      </c>
      <c r="I75" s="31"/>
    </row>
    <row r="76" spans="1:9" x14ac:dyDescent="0.25">
      <c r="A76" s="48"/>
      <c r="B76" s="49"/>
      <c r="C76" s="50"/>
      <c r="D76" s="50"/>
      <c r="E76" s="52"/>
      <c r="F76" s="51"/>
      <c r="G76" s="53"/>
      <c r="H76" s="54"/>
      <c r="I76" s="53"/>
    </row>
    <row r="77" spans="1:9" x14ac:dyDescent="0.25">
      <c r="A77" s="32">
        <v>16</v>
      </c>
      <c r="B77" s="26" t="s">
        <v>79</v>
      </c>
      <c r="C77" s="25" t="s">
        <v>74</v>
      </c>
      <c r="D77" s="44" t="s">
        <v>90</v>
      </c>
      <c r="E77" s="45" t="s">
        <v>62</v>
      </c>
      <c r="F77" s="45">
        <v>46115</v>
      </c>
      <c r="G77" s="46">
        <v>2.3050000000000002</v>
      </c>
      <c r="H77" s="47" t="s">
        <v>15</v>
      </c>
      <c r="I77" s="31" t="s">
        <v>152</v>
      </c>
    </row>
    <row r="78" spans="1:9" x14ac:dyDescent="0.25">
      <c r="A78" s="32"/>
      <c r="B78" s="26"/>
      <c r="C78" s="25"/>
      <c r="D78" s="44" t="s">
        <v>153</v>
      </c>
      <c r="E78" s="45" t="s">
        <v>62</v>
      </c>
      <c r="F78" s="45">
        <v>46115</v>
      </c>
      <c r="G78" s="46">
        <v>2.0270000000000001</v>
      </c>
      <c r="H78" s="47" t="s">
        <v>15</v>
      </c>
      <c r="I78" s="31" t="s">
        <v>152</v>
      </c>
    </row>
    <row r="79" spans="1:9" x14ac:dyDescent="0.25">
      <c r="A79" s="32"/>
      <c r="B79" s="26"/>
      <c r="C79" s="25"/>
      <c r="D79" s="44" t="s">
        <v>155</v>
      </c>
      <c r="E79" s="45" t="s">
        <v>62</v>
      </c>
      <c r="F79" s="45">
        <v>46115</v>
      </c>
      <c r="G79" s="46">
        <v>1.242</v>
      </c>
      <c r="H79" s="47" t="s">
        <v>15</v>
      </c>
      <c r="I79" s="31" t="s">
        <v>152</v>
      </c>
    </row>
    <row r="80" spans="1:9" x14ac:dyDescent="0.25">
      <c r="A80" s="32"/>
      <c r="B80" s="26"/>
      <c r="C80" s="25"/>
      <c r="D80" s="44" t="s">
        <v>154</v>
      </c>
      <c r="E80" s="45" t="s">
        <v>62</v>
      </c>
      <c r="F80" s="45">
        <v>46115</v>
      </c>
      <c r="G80" s="46">
        <v>0.78600000000000003</v>
      </c>
      <c r="H80" s="47" t="s">
        <v>15</v>
      </c>
      <c r="I80" s="31" t="s">
        <v>152</v>
      </c>
    </row>
    <row r="81" spans="1:9" x14ac:dyDescent="0.25">
      <c r="A81" s="48"/>
      <c r="B81" s="49"/>
      <c r="C81" s="50"/>
      <c r="D81" s="50"/>
      <c r="E81" s="52"/>
      <c r="F81" s="51"/>
      <c r="G81" s="53"/>
      <c r="H81" s="54"/>
      <c r="I81" s="53"/>
    </row>
    <row r="82" spans="1:9" x14ac:dyDescent="0.25">
      <c r="A82" s="32">
        <v>17</v>
      </c>
      <c r="B82" s="26" t="s">
        <v>40</v>
      </c>
      <c r="C82" s="25" t="s">
        <v>74</v>
      </c>
      <c r="D82" s="44" t="s">
        <v>135</v>
      </c>
      <c r="E82" s="45" t="s">
        <v>62</v>
      </c>
      <c r="F82" s="45">
        <v>46084</v>
      </c>
      <c r="G82" s="46">
        <v>1.5920000000000001</v>
      </c>
      <c r="H82" s="47" t="s">
        <v>50</v>
      </c>
      <c r="I82" s="31"/>
    </row>
    <row r="83" spans="1:9" x14ac:dyDescent="0.25">
      <c r="A83" s="32"/>
      <c r="B83" s="26"/>
      <c r="C83" s="25"/>
      <c r="D83" s="44" t="s">
        <v>122</v>
      </c>
      <c r="E83" s="45" t="s">
        <v>62</v>
      </c>
      <c r="F83" s="45" t="s">
        <v>157</v>
      </c>
      <c r="G83" s="46">
        <v>4.8529999999999998</v>
      </c>
      <c r="H83" s="47" t="s">
        <v>50</v>
      </c>
      <c r="I83" s="31" t="s">
        <v>108</v>
      </c>
    </row>
    <row r="84" spans="1:9" x14ac:dyDescent="0.25">
      <c r="A84" s="32"/>
      <c r="B84" s="26"/>
      <c r="C84" s="25"/>
      <c r="D84" s="44" t="s">
        <v>156</v>
      </c>
      <c r="E84" s="45" t="s">
        <v>62</v>
      </c>
      <c r="F84" s="45">
        <v>46057</v>
      </c>
      <c r="G84" s="46">
        <v>1.2849999999999999</v>
      </c>
      <c r="H84" s="47" t="s">
        <v>50</v>
      </c>
      <c r="I84" s="31" t="s">
        <v>108</v>
      </c>
    </row>
    <row r="85" spans="1:9" x14ac:dyDescent="0.25">
      <c r="A85" s="48"/>
      <c r="B85" s="56"/>
      <c r="C85" s="50"/>
      <c r="D85" s="50"/>
      <c r="E85" s="52"/>
      <c r="F85" s="51"/>
      <c r="G85" s="53"/>
      <c r="H85" s="57"/>
      <c r="I85" s="53"/>
    </row>
    <row r="86" spans="1:9" x14ac:dyDescent="0.25">
      <c r="A86" s="32">
        <v>18</v>
      </c>
      <c r="B86" s="26" t="s">
        <v>139</v>
      </c>
      <c r="C86" s="25" t="s">
        <v>74</v>
      </c>
      <c r="D86" s="44" t="s">
        <v>135</v>
      </c>
      <c r="E86" s="45" t="s">
        <v>62</v>
      </c>
      <c r="F86" s="45">
        <v>46176</v>
      </c>
      <c r="G86" s="46">
        <v>2.5920000000000001</v>
      </c>
      <c r="H86" s="47" t="s">
        <v>31</v>
      </c>
      <c r="I86" s="31" t="s">
        <v>108</v>
      </c>
    </row>
    <row r="87" spans="1:9" x14ac:dyDescent="0.25">
      <c r="A87" s="32"/>
      <c r="B87" s="26"/>
      <c r="C87" s="25"/>
      <c r="D87" s="44" t="s">
        <v>140</v>
      </c>
      <c r="E87" s="45" t="s">
        <v>62</v>
      </c>
      <c r="F87" s="45" t="s">
        <v>141</v>
      </c>
      <c r="G87" s="46">
        <v>4.5620000000000003</v>
      </c>
      <c r="H87" s="47" t="s">
        <v>31</v>
      </c>
      <c r="I87" s="31" t="s">
        <v>108</v>
      </c>
    </row>
    <row r="88" spans="1:9" x14ac:dyDescent="0.25">
      <c r="A88" s="48"/>
      <c r="B88" s="56"/>
      <c r="C88" s="50"/>
      <c r="D88" s="50"/>
      <c r="E88" s="52"/>
      <c r="F88" s="51"/>
      <c r="G88" s="53"/>
      <c r="H88" s="57"/>
      <c r="I88" s="53"/>
    </row>
    <row r="89" spans="1:9" x14ac:dyDescent="0.25">
      <c r="A89" s="32">
        <v>19</v>
      </c>
      <c r="B89" s="26" t="s">
        <v>158</v>
      </c>
      <c r="C89" s="25" t="s">
        <v>74</v>
      </c>
      <c r="D89" s="44" t="s">
        <v>90</v>
      </c>
      <c r="E89" s="45" t="s">
        <v>62</v>
      </c>
      <c r="F89" s="45">
        <v>46206</v>
      </c>
      <c r="G89" s="46">
        <v>5.0620000000000003</v>
      </c>
      <c r="H89" s="47" t="s">
        <v>17</v>
      </c>
      <c r="I89" s="47" t="s">
        <v>17</v>
      </c>
    </row>
    <row r="90" spans="1:9" x14ac:dyDescent="0.25">
      <c r="A90" s="32"/>
      <c r="B90" s="26"/>
      <c r="C90" s="25"/>
      <c r="D90" s="44" t="s">
        <v>122</v>
      </c>
      <c r="E90" s="45" t="s">
        <v>62</v>
      </c>
      <c r="F90" s="45" t="s">
        <v>159</v>
      </c>
      <c r="G90" s="46">
        <v>3.298</v>
      </c>
      <c r="H90" s="47" t="s">
        <v>31</v>
      </c>
      <c r="I90" s="31" t="s">
        <v>13</v>
      </c>
    </row>
    <row r="91" spans="1:9" x14ac:dyDescent="0.25">
      <c r="A91" s="32"/>
      <c r="B91" s="26"/>
      <c r="C91" s="25"/>
      <c r="D91" s="44" t="s">
        <v>123</v>
      </c>
      <c r="E91" s="45" t="s">
        <v>62</v>
      </c>
      <c r="F91" s="45" t="s">
        <v>159</v>
      </c>
      <c r="G91" s="46">
        <v>1.6950000000000001</v>
      </c>
      <c r="H91" s="47" t="s">
        <v>31</v>
      </c>
      <c r="I91" s="31" t="s">
        <v>13</v>
      </c>
    </row>
    <row r="92" spans="1:9" x14ac:dyDescent="0.25">
      <c r="A92" s="48"/>
      <c r="B92" s="49"/>
      <c r="C92" s="50"/>
      <c r="D92" s="50"/>
      <c r="E92" s="52"/>
      <c r="F92" s="51"/>
      <c r="G92" s="53"/>
      <c r="H92" s="54"/>
      <c r="I92" s="53"/>
    </row>
    <row r="93" spans="1:9" x14ac:dyDescent="0.25">
      <c r="A93" s="32">
        <v>20</v>
      </c>
      <c r="B93" s="26" t="s">
        <v>39</v>
      </c>
      <c r="C93" s="25" t="s">
        <v>74</v>
      </c>
      <c r="D93" s="44" t="s">
        <v>90</v>
      </c>
      <c r="E93" s="45" t="s">
        <v>62</v>
      </c>
      <c r="F93" s="45" t="s">
        <v>170</v>
      </c>
      <c r="G93" s="46">
        <v>2.2669999999999999</v>
      </c>
      <c r="H93" s="47" t="s">
        <v>31</v>
      </c>
      <c r="I93" s="31" t="s">
        <v>13</v>
      </c>
    </row>
    <row r="94" spans="1:9" x14ac:dyDescent="0.25">
      <c r="A94" s="66"/>
      <c r="B94" s="26"/>
      <c r="C94" s="25"/>
      <c r="D94" s="44" t="s">
        <v>153</v>
      </c>
      <c r="E94" s="45" t="s">
        <v>62</v>
      </c>
      <c r="F94" s="45" t="s">
        <v>171</v>
      </c>
      <c r="G94" s="46">
        <v>1.214</v>
      </c>
      <c r="H94" s="47" t="s">
        <v>31</v>
      </c>
      <c r="I94" s="31" t="s">
        <v>13</v>
      </c>
    </row>
    <row r="95" spans="1:9" x14ac:dyDescent="0.25">
      <c r="A95" s="66"/>
      <c r="B95" s="70"/>
      <c r="C95" s="70"/>
      <c r="D95" s="72" t="s">
        <v>165</v>
      </c>
      <c r="E95" s="45" t="s">
        <v>62</v>
      </c>
      <c r="F95" s="45" t="s">
        <v>171</v>
      </c>
      <c r="G95" s="74">
        <v>0.83499999999999996</v>
      </c>
      <c r="H95" s="47" t="s">
        <v>31</v>
      </c>
      <c r="I95" s="31" t="s">
        <v>13</v>
      </c>
    </row>
    <row r="96" spans="1:9" x14ac:dyDescent="0.25">
      <c r="A96" s="48"/>
      <c r="B96" s="49"/>
      <c r="C96" s="50"/>
      <c r="D96" s="50"/>
      <c r="E96" s="52"/>
      <c r="F96" s="51"/>
      <c r="G96" s="53"/>
      <c r="H96" s="54"/>
      <c r="I96" s="53"/>
    </row>
    <row r="97" spans="1:9" x14ac:dyDescent="0.25">
      <c r="A97" s="31">
        <v>21</v>
      </c>
      <c r="B97" s="25" t="s">
        <v>195</v>
      </c>
      <c r="C97" s="25" t="s">
        <v>74</v>
      </c>
      <c r="D97" s="44" t="s">
        <v>196</v>
      </c>
      <c r="E97" s="45" t="s">
        <v>62</v>
      </c>
      <c r="F97" s="45" t="s">
        <v>157</v>
      </c>
      <c r="G97" s="31">
        <v>0.67900000000000005</v>
      </c>
      <c r="H97" s="69" t="s">
        <v>34</v>
      </c>
      <c r="I97" s="31" t="s">
        <v>108</v>
      </c>
    </row>
    <row r="98" spans="1:9" x14ac:dyDescent="0.25">
      <c r="A98" s="31"/>
      <c r="B98" s="25"/>
      <c r="C98" s="25"/>
      <c r="D98" s="44" t="s">
        <v>197</v>
      </c>
      <c r="E98" s="45" t="s">
        <v>62</v>
      </c>
      <c r="F98" s="45" t="s">
        <v>186</v>
      </c>
      <c r="G98" s="31">
        <v>1.643</v>
      </c>
      <c r="H98" s="69" t="s">
        <v>33</v>
      </c>
      <c r="I98" s="31" t="s">
        <v>108</v>
      </c>
    </row>
    <row r="99" spans="1:9" x14ac:dyDescent="0.25">
      <c r="A99" s="31"/>
      <c r="B99" s="25"/>
      <c r="C99" s="25"/>
      <c r="D99" s="44" t="s">
        <v>198</v>
      </c>
      <c r="E99" s="45" t="s">
        <v>62</v>
      </c>
      <c r="F99" s="45" t="s">
        <v>206</v>
      </c>
      <c r="G99" s="31">
        <v>2.64</v>
      </c>
      <c r="H99" s="69" t="s">
        <v>33</v>
      </c>
      <c r="I99" s="31" t="s">
        <v>108</v>
      </c>
    </row>
    <row r="100" spans="1:9" x14ac:dyDescent="0.25">
      <c r="A100" s="31"/>
      <c r="B100" s="25"/>
      <c r="C100" s="25"/>
      <c r="D100" s="44" t="s">
        <v>199</v>
      </c>
      <c r="E100" s="45" t="s">
        <v>62</v>
      </c>
      <c r="F100" s="45">
        <v>46027</v>
      </c>
      <c r="G100" s="31">
        <v>5.5940000000000003</v>
      </c>
      <c r="H100" s="69" t="s">
        <v>207</v>
      </c>
      <c r="I100" s="92"/>
    </row>
    <row r="101" spans="1:9" x14ac:dyDescent="0.25">
      <c r="A101" s="31"/>
      <c r="B101" s="25"/>
      <c r="C101" s="25"/>
      <c r="D101" s="44" t="s">
        <v>201</v>
      </c>
      <c r="E101" s="45" t="s">
        <v>62</v>
      </c>
      <c r="F101" s="45" t="s">
        <v>366</v>
      </c>
      <c r="G101" s="31">
        <v>4.782</v>
      </c>
      <c r="H101" s="69" t="s">
        <v>31</v>
      </c>
      <c r="I101" s="47" t="s">
        <v>17</v>
      </c>
    </row>
    <row r="102" spans="1:9" x14ac:dyDescent="0.25">
      <c r="A102" s="31"/>
      <c r="B102" s="25"/>
      <c r="C102" s="25"/>
      <c r="D102" s="44" t="s">
        <v>202</v>
      </c>
      <c r="E102" s="45" t="s">
        <v>62</v>
      </c>
      <c r="F102" s="45" t="s">
        <v>176</v>
      </c>
      <c r="G102" s="31">
        <v>4.1619999999999999</v>
      </c>
      <c r="H102" s="69" t="s">
        <v>33</v>
      </c>
      <c r="I102" s="31" t="s">
        <v>13</v>
      </c>
    </row>
    <row r="103" spans="1:9" x14ac:dyDescent="0.25">
      <c r="A103" s="31"/>
      <c r="B103" s="25"/>
      <c r="C103" s="25"/>
      <c r="D103" s="44" t="s">
        <v>203</v>
      </c>
      <c r="E103" s="45" t="s">
        <v>62</v>
      </c>
      <c r="F103" s="45" t="s">
        <v>284</v>
      </c>
      <c r="G103" s="31">
        <v>12.372999999999999</v>
      </c>
      <c r="H103" s="69" t="s">
        <v>31</v>
      </c>
      <c r="I103" s="31" t="s">
        <v>243</v>
      </c>
    </row>
    <row r="104" spans="1:9" x14ac:dyDescent="0.25">
      <c r="A104" s="31"/>
      <c r="B104" s="25"/>
      <c r="C104" s="25"/>
      <c r="D104" s="44" t="s">
        <v>204</v>
      </c>
      <c r="E104" s="45" t="s">
        <v>62</v>
      </c>
      <c r="F104" s="45">
        <v>46148</v>
      </c>
      <c r="G104" s="31">
        <v>2.9350000000000001</v>
      </c>
      <c r="H104" s="69" t="s">
        <v>31</v>
      </c>
      <c r="I104" s="31"/>
    </row>
    <row r="105" spans="1:9" x14ac:dyDescent="0.25">
      <c r="A105" s="31"/>
      <c r="B105" s="25"/>
      <c r="C105" s="25"/>
      <c r="D105" s="44" t="s">
        <v>205</v>
      </c>
      <c r="E105" s="45" t="s">
        <v>62</v>
      </c>
      <c r="F105" s="45">
        <v>46116</v>
      </c>
      <c r="G105" s="31">
        <v>1.37</v>
      </c>
      <c r="H105" s="69" t="s">
        <v>34</v>
      </c>
      <c r="I105" s="31" t="s">
        <v>108</v>
      </c>
    </row>
    <row r="106" spans="1:9" x14ac:dyDescent="0.25">
      <c r="A106" s="48"/>
      <c r="B106" s="49"/>
      <c r="C106" s="50"/>
      <c r="D106" s="50"/>
      <c r="E106" s="52"/>
      <c r="F106" s="51"/>
      <c r="G106" s="53"/>
      <c r="H106" s="54"/>
      <c r="I106" s="53"/>
    </row>
    <row r="107" spans="1:9" x14ac:dyDescent="0.25">
      <c r="A107" s="31">
        <v>22</v>
      </c>
      <c r="B107" s="25" t="s">
        <v>42</v>
      </c>
      <c r="C107" s="25" t="s">
        <v>74</v>
      </c>
      <c r="D107" s="44" t="s">
        <v>90</v>
      </c>
      <c r="E107" s="45" t="s">
        <v>62</v>
      </c>
      <c r="F107" s="45" t="s">
        <v>172</v>
      </c>
      <c r="G107" s="31">
        <v>3.0409999999999999</v>
      </c>
      <c r="H107" s="69" t="s">
        <v>31</v>
      </c>
      <c r="I107" s="31"/>
    </row>
    <row r="108" spans="1:9" x14ac:dyDescent="0.25">
      <c r="A108" s="31"/>
      <c r="B108" s="25"/>
      <c r="C108" s="25"/>
      <c r="D108" s="44" t="s">
        <v>140</v>
      </c>
      <c r="E108" s="45" t="s">
        <v>62</v>
      </c>
      <c r="F108" s="45">
        <v>46027</v>
      </c>
      <c r="G108" s="31">
        <v>4.2610000000000001</v>
      </c>
      <c r="H108" s="69" t="s">
        <v>31</v>
      </c>
      <c r="I108" s="31"/>
    </row>
    <row r="109" spans="1:9" x14ac:dyDescent="0.25">
      <c r="A109" s="59"/>
      <c r="B109" s="61"/>
      <c r="C109" s="60"/>
      <c r="D109" s="60"/>
      <c r="E109" s="63"/>
      <c r="F109" s="64"/>
      <c r="G109" s="59"/>
      <c r="H109" s="65"/>
      <c r="I109" s="59"/>
    </row>
    <row r="110" spans="1:9" x14ac:dyDescent="0.25">
      <c r="A110" s="31">
        <v>23</v>
      </c>
      <c r="B110" s="25" t="s">
        <v>43</v>
      </c>
      <c r="C110" s="25" t="s">
        <v>74</v>
      </c>
      <c r="D110" s="44" t="s">
        <v>90</v>
      </c>
      <c r="E110" s="45" t="s">
        <v>62</v>
      </c>
      <c r="F110" s="45" t="s">
        <v>149</v>
      </c>
      <c r="G110" s="31">
        <v>15.362</v>
      </c>
      <c r="H110" s="69" t="s">
        <v>31</v>
      </c>
      <c r="I110" s="31" t="s">
        <v>108</v>
      </c>
    </row>
    <row r="111" spans="1:9" x14ac:dyDescent="0.25">
      <c r="A111" s="31"/>
      <c r="B111" s="25"/>
      <c r="C111" s="25"/>
      <c r="D111" s="44" t="s">
        <v>181</v>
      </c>
      <c r="E111" s="45" t="s">
        <v>62</v>
      </c>
      <c r="F111" s="45">
        <v>46027</v>
      </c>
      <c r="G111" s="31">
        <v>5.0119999999999996</v>
      </c>
      <c r="H111" s="69" t="s">
        <v>222</v>
      </c>
      <c r="I111" s="31"/>
    </row>
    <row r="112" spans="1:9" x14ac:dyDescent="0.25">
      <c r="A112" s="59"/>
      <c r="B112" s="61"/>
      <c r="C112" s="60"/>
      <c r="D112" s="60"/>
      <c r="E112" s="63"/>
      <c r="F112" s="64"/>
      <c r="G112" s="59"/>
      <c r="H112" s="65"/>
      <c r="I112" s="59"/>
    </row>
    <row r="113" spans="1:9" x14ac:dyDescent="0.25">
      <c r="A113" s="31">
        <v>24</v>
      </c>
      <c r="B113" s="25" t="s">
        <v>44</v>
      </c>
      <c r="C113" s="25" t="s">
        <v>74</v>
      </c>
      <c r="D113" s="44" t="s">
        <v>29</v>
      </c>
      <c r="E113" s="45" t="s">
        <v>62</v>
      </c>
      <c r="F113" s="45">
        <v>46238</v>
      </c>
      <c r="G113" s="31">
        <v>2.2690000000000001</v>
      </c>
      <c r="H113" s="69" t="s">
        <v>63</v>
      </c>
      <c r="I113" s="31" t="s">
        <v>13</v>
      </c>
    </row>
    <row r="114" spans="1:9" x14ac:dyDescent="0.25">
      <c r="A114" s="31"/>
      <c r="B114" s="25"/>
      <c r="C114" s="25"/>
      <c r="D114" s="44" t="s">
        <v>53</v>
      </c>
      <c r="E114" s="45" t="s">
        <v>62</v>
      </c>
      <c r="F114" s="45" t="s">
        <v>271</v>
      </c>
      <c r="G114" s="31">
        <v>9.2959999999999994</v>
      </c>
      <c r="H114" s="69" t="s">
        <v>63</v>
      </c>
      <c r="I114" s="46" t="s">
        <v>243</v>
      </c>
    </row>
    <row r="115" spans="1:9" x14ac:dyDescent="0.25">
      <c r="A115" s="31"/>
      <c r="B115" s="25"/>
      <c r="C115" s="25"/>
      <c r="D115" s="44" t="s">
        <v>208</v>
      </c>
      <c r="E115" s="95" t="s">
        <v>286</v>
      </c>
      <c r="F115" s="68"/>
      <c r="G115" s="31"/>
      <c r="H115" s="69" t="s">
        <v>63</v>
      </c>
      <c r="I115" s="46" t="s">
        <v>243</v>
      </c>
    </row>
    <row r="116" spans="1:9" x14ac:dyDescent="0.25">
      <c r="A116" s="31"/>
      <c r="B116" s="25"/>
      <c r="C116" s="25"/>
      <c r="D116" s="44" t="s">
        <v>200</v>
      </c>
      <c r="E116" s="95" t="s">
        <v>286</v>
      </c>
      <c r="F116" s="68"/>
      <c r="G116" s="31"/>
      <c r="H116" s="69"/>
      <c r="I116" s="31"/>
    </row>
    <row r="117" spans="1:9" x14ac:dyDescent="0.25">
      <c r="A117" s="59"/>
      <c r="B117" s="61"/>
      <c r="C117" s="60"/>
      <c r="D117" s="60"/>
      <c r="E117" s="63"/>
      <c r="F117" s="64"/>
      <c r="G117" s="59"/>
      <c r="H117" s="65"/>
      <c r="I117" s="59"/>
    </row>
    <row r="118" spans="1:9" x14ac:dyDescent="0.25">
      <c r="A118" s="31">
        <v>25</v>
      </c>
      <c r="B118" s="25" t="s">
        <v>45</v>
      </c>
      <c r="C118" s="25" t="s">
        <v>74</v>
      </c>
      <c r="D118" s="44" t="s">
        <v>90</v>
      </c>
      <c r="E118" s="45" t="s">
        <v>62</v>
      </c>
      <c r="F118" s="45">
        <v>46299</v>
      </c>
      <c r="G118" s="31">
        <v>3.7890000000000001</v>
      </c>
      <c r="H118" s="69" t="s">
        <v>107</v>
      </c>
      <c r="I118" s="31" t="s">
        <v>13</v>
      </c>
    </row>
    <row r="119" spans="1:9" x14ac:dyDescent="0.25">
      <c r="A119" s="31"/>
      <c r="B119" s="25"/>
      <c r="C119" s="25"/>
      <c r="D119" s="44" t="s">
        <v>215</v>
      </c>
      <c r="E119" s="45" t="s">
        <v>62</v>
      </c>
      <c r="F119" s="45">
        <v>46117</v>
      </c>
      <c r="G119" s="31">
        <v>3.1909999999999998</v>
      </c>
      <c r="H119" s="69" t="s">
        <v>107</v>
      </c>
      <c r="I119" s="31" t="s">
        <v>13</v>
      </c>
    </row>
    <row r="120" spans="1:9" x14ac:dyDescent="0.25">
      <c r="A120" s="31"/>
      <c r="B120" s="25"/>
      <c r="C120" s="25"/>
      <c r="D120" s="44" t="s">
        <v>259</v>
      </c>
      <c r="E120" s="45" t="s">
        <v>62</v>
      </c>
      <c r="F120" s="45">
        <v>46117</v>
      </c>
      <c r="G120" s="31">
        <v>5.85</v>
      </c>
      <c r="H120" s="69" t="s">
        <v>250</v>
      </c>
      <c r="I120" s="31"/>
    </row>
    <row r="121" spans="1:9" x14ac:dyDescent="0.25">
      <c r="A121" s="31"/>
      <c r="B121" s="25"/>
      <c r="C121" s="25"/>
      <c r="D121" s="44" t="s">
        <v>156</v>
      </c>
      <c r="E121" s="45" t="s">
        <v>62</v>
      </c>
      <c r="F121" s="45">
        <v>46331</v>
      </c>
      <c r="G121" s="31">
        <v>2.95</v>
      </c>
      <c r="H121" s="69" t="s">
        <v>229</v>
      </c>
      <c r="I121" s="46" t="s">
        <v>243</v>
      </c>
    </row>
    <row r="122" spans="1:9" x14ac:dyDescent="0.25">
      <c r="A122" s="59"/>
      <c r="B122" s="61"/>
      <c r="C122" s="60"/>
      <c r="D122" s="60"/>
      <c r="E122" s="63"/>
      <c r="F122" s="62"/>
      <c r="G122" s="59"/>
      <c r="H122" s="65"/>
      <c r="I122" s="59"/>
    </row>
    <row r="123" spans="1:9" x14ac:dyDescent="0.25">
      <c r="A123" s="66">
        <v>26</v>
      </c>
      <c r="B123" s="25" t="s">
        <v>183</v>
      </c>
      <c r="C123" s="25" t="s">
        <v>74</v>
      </c>
      <c r="D123" s="44" t="s">
        <v>184</v>
      </c>
      <c r="E123" s="45" t="s">
        <v>62</v>
      </c>
      <c r="F123" s="45">
        <v>46238</v>
      </c>
      <c r="G123" s="31">
        <v>0.67400000000000004</v>
      </c>
      <c r="H123" s="69" t="s">
        <v>107</v>
      </c>
      <c r="I123" s="31" t="s">
        <v>13</v>
      </c>
    </row>
    <row r="124" spans="1:9" x14ac:dyDescent="0.25">
      <c r="A124" s="66"/>
      <c r="B124" s="25"/>
      <c r="C124" s="25"/>
      <c r="D124" s="44" t="s">
        <v>185</v>
      </c>
      <c r="E124" s="45" t="s">
        <v>62</v>
      </c>
      <c r="F124" s="45">
        <v>46238</v>
      </c>
      <c r="G124" s="31">
        <v>0.17399999999999999</v>
      </c>
      <c r="H124" s="69" t="s">
        <v>107</v>
      </c>
      <c r="I124" s="31" t="s">
        <v>13</v>
      </c>
    </row>
    <row r="125" spans="1:9" x14ac:dyDescent="0.25">
      <c r="A125" s="59"/>
      <c r="B125" s="61"/>
      <c r="C125" s="60"/>
      <c r="D125" s="60"/>
      <c r="E125" s="63"/>
      <c r="F125" s="64"/>
      <c r="G125" s="59"/>
      <c r="H125" s="65"/>
      <c r="I125" s="59"/>
    </row>
    <row r="126" spans="1:9" x14ac:dyDescent="0.25">
      <c r="A126" s="31">
        <v>27</v>
      </c>
      <c r="B126" s="25" t="s">
        <v>47</v>
      </c>
      <c r="C126" s="25" t="s">
        <v>74</v>
      </c>
      <c r="D126" s="44" t="s">
        <v>90</v>
      </c>
      <c r="E126" s="45" t="s">
        <v>62</v>
      </c>
      <c r="F126" s="45">
        <v>46177</v>
      </c>
      <c r="G126" s="31">
        <v>22.524000000000001</v>
      </c>
      <c r="H126" s="69" t="s">
        <v>31</v>
      </c>
      <c r="I126" s="31" t="s">
        <v>13</v>
      </c>
    </row>
    <row r="127" spans="1:9" x14ac:dyDescent="0.25">
      <c r="A127" s="31"/>
      <c r="B127" s="25"/>
      <c r="C127" s="25"/>
      <c r="D127" s="44" t="s">
        <v>260</v>
      </c>
      <c r="E127" s="45" t="s">
        <v>62</v>
      </c>
      <c r="F127" s="45">
        <v>46361</v>
      </c>
      <c r="G127" s="31">
        <v>5.7809999999999997</v>
      </c>
      <c r="H127" s="69" t="s">
        <v>252</v>
      </c>
      <c r="I127" s="46" t="s">
        <v>243</v>
      </c>
    </row>
    <row r="128" spans="1:9" x14ac:dyDescent="0.25">
      <c r="A128" s="31"/>
      <c r="B128" s="25"/>
      <c r="C128" s="25"/>
      <c r="D128" s="44" t="s">
        <v>261</v>
      </c>
      <c r="E128" s="45" t="s">
        <v>62</v>
      </c>
      <c r="F128" s="45" t="s">
        <v>278</v>
      </c>
      <c r="G128" s="31">
        <v>10.773</v>
      </c>
      <c r="H128" s="69" t="s">
        <v>16</v>
      </c>
      <c r="I128" s="46" t="s">
        <v>243</v>
      </c>
    </row>
    <row r="129" spans="1:9" x14ac:dyDescent="0.25">
      <c r="A129" s="31"/>
      <c r="B129" s="25"/>
      <c r="C129" s="25"/>
      <c r="D129" s="44" t="s">
        <v>375</v>
      </c>
      <c r="E129" s="45" t="s">
        <v>62</v>
      </c>
      <c r="F129" s="45" t="s">
        <v>364</v>
      </c>
      <c r="G129" s="31">
        <v>10.013999999999999</v>
      </c>
      <c r="H129" s="69" t="s">
        <v>16</v>
      </c>
      <c r="I129" s="46" t="s">
        <v>243</v>
      </c>
    </row>
    <row r="130" spans="1:9" x14ac:dyDescent="0.25">
      <c r="A130" s="31"/>
      <c r="B130" s="25"/>
      <c r="C130" s="25"/>
      <c r="D130" s="44" t="s">
        <v>377</v>
      </c>
      <c r="E130" s="45" t="s">
        <v>62</v>
      </c>
      <c r="F130" s="45" t="s">
        <v>381</v>
      </c>
      <c r="G130" s="31">
        <v>4.7839999999999998</v>
      </c>
      <c r="H130" s="69" t="s">
        <v>16</v>
      </c>
      <c r="I130" s="31"/>
    </row>
    <row r="131" spans="1:9" x14ac:dyDescent="0.25">
      <c r="A131" s="31"/>
      <c r="B131" s="25"/>
      <c r="C131" s="25"/>
      <c r="D131" s="44" t="s">
        <v>376</v>
      </c>
      <c r="E131" s="45" t="s">
        <v>62</v>
      </c>
      <c r="F131" s="45">
        <v>46087</v>
      </c>
      <c r="G131" s="31">
        <v>3.6429999999999998</v>
      </c>
      <c r="H131" s="69" t="s">
        <v>16</v>
      </c>
      <c r="I131" s="31"/>
    </row>
    <row r="132" spans="1:9" x14ac:dyDescent="0.25">
      <c r="A132" s="31"/>
      <c r="B132" s="25"/>
      <c r="C132" s="25"/>
      <c r="D132" s="44" t="s">
        <v>414</v>
      </c>
      <c r="E132" s="45" t="s">
        <v>62</v>
      </c>
      <c r="F132" s="45">
        <v>46362</v>
      </c>
      <c r="G132" s="31">
        <v>14.818</v>
      </c>
      <c r="H132" s="69" t="s">
        <v>16</v>
      </c>
      <c r="I132" s="46" t="s">
        <v>243</v>
      </c>
    </row>
    <row r="133" spans="1:9" x14ac:dyDescent="0.25">
      <c r="A133" s="31"/>
      <c r="B133" s="25"/>
      <c r="C133" s="25"/>
      <c r="D133" s="44" t="s">
        <v>191</v>
      </c>
      <c r="E133" s="45" t="s">
        <v>62</v>
      </c>
      <c r="F133" s="45" t="s">
        <v>189</v>
      </c>
      <c r="G133" s="31">
        <v>0.57599999999999996</v>
      </c>
      <c r="H133" s="69" t="s">
        <v>31</v>
      </c>
      <c r="I133" s="31" t="s">
        <v>13</v>
      </c>
    </row>
    <row r="134" spans="1:9" x14ac:dyDescent="0.25">
      <c r="A134" s="31"/>
      <c r="B134" s="25"/>
      <c r="C134" s="25"/>
      <c r="D134" s="72" t="s">
        <v>244</v>
      </c>
      <c r="E134" s="45" t="s">
        <v>62</v>
      </c>
      <c r="F134" s="45">
        <v>46270</v>
      </c>
      <c r="G134" s="66">
        <v>0.123</v>
      </c>
      <c r="H134" s="94" t="s">
        <v>17</v>
      </c>
      <c r="I134" s="66"/>
    </row>
    <row r="135" spans="1:9" x14ac:dyDescent="0.25">
      <c r="A135" s="59"/>
      <c r="B135" s="61"/>
      <c r="C135" s="60"/>
      <c r="D135" s="60"/>
      <c r="E135" s="63"/>
      <c r="F135" s="62"/>
      <c r="G135" s="59"/>
      <c r="H135" s="65"/>
      <c r="I135" s="59"/>
    </row>
    <row r="136" spans="1:9" x14ac:dyDescent="0.25">
      <c r="A136" s="32">
        <v>28</v>
      </c>
      <c r="B136" s="26" t="s">
        <v>48</v>
      </c>
      <c r="C136" s="25" t="s">
        <v>74</v>
      </c>
      <c r="D136" s="44" t="s">
        <v>173</v>
      </c>
      <c r="E136" s="45" t="s">
        <v>62</v>
      </c>
      <c r="F136" s="45">
        <v>46238</v>
      </c>
      <c r="G136" s="46">
        <v>14.393000000000001</v>
      </c>
      <c r="H136" s="47" t="s">
        <v>16</v>
      </c>
      <c r="I136" s="31" t="s">
        <v>120</v>
      </c>
    </row>
    <row r="137" spans="1:9" x14ac:dyDescent="0.25">
      <c r="A137" s="32"/>
      <c r="B137" s="26"/>
      <c r="C137" s="25"/>
      <c r="D137" s="44" t="s">
        <v>174</v>
      </c>
      <c r="E137" s="45" t="s">
        <v>62</v>
      </c>
      <c r="F137" s="45">
        <v>46299</v>
      </c>
      <c r="G137" s="46">
        <v>2.3359999999999999</v>
      </c>
      <c r="H137" s="47" t="s">
        <v>16</v>
      </c>
      <c r="I137" s="31" t="s">
        <v>120</v>
      </c>
    </row>
    <row r="138" spans="1:9" x14ac:dyDescent="0.25">
      <c r="A138" s="66"/>
      <c r="B138" s="25"/>
      <c r="C138" s="25"/>
      <c r="D138" s="44" t="s">
        <v>175</v>
      </c>
      <c r="E138" s="45" t="s">
        <v>62</v>
      </c>
      <c r="F138" s="45" t="s">
        <v>176</v>
      </c>
      <c r="G138" s="46">
        <v>7.6559999999999997</v>
      </c>
      <c r="H138" s="47" t="s">
        <v>16</v>
      </c>
      <c r="I138" s="31" t="s">
        <v>120</v>
      </c>
    </row>
    <row r="139" spans="1:9" x14ac:dyDescent="0.25">
      <c r="A139" s="48"/>
      <c r="B139" s="56"/>
      <c r="C139" s="50"/>
      <c r="D139" s="50"/>
      <c r="E139" s="52"/>
      <c r="F139" s="51"/>
      <c r="G139" s="53"/>
      <c r="H139" s="57"/>
      <c r="I139" s="53"/>
    </row>
    <row r="140" spans="1:9" x14ac:dyDescent="0.25">
      <c r="A140" s="32">
        <v>29</v>
      </c>
      <c r="B140" s="26" t="s">
        <v>46</v>
      </c>
      <c r="C140" s="25" t="s">
        <v>74</v>
      </c>
      <c r="D140" s="44" t="s">
        <v>90</v>
      </c>
      <c r="E140" s="45" t="s">
        <v>62</v>
      </c>
      <c r="F140" s="45">
        <v>46177</v>
      </c>
      <c r="G140" s="46">
        <v>7.45</v>
      </c>
      <c r="H140" s="47" t="s">
        <v>33</v>
      </c>
      <c r="I140" s="31" t="s">
        <v>13</v>
      </c>
    </row>
    <row r="141" spans="1:9" x14ac:dyDescent="0.25">
      <c r="A141" s="32"/>
      <c r="B141" s="26"/>
      <c r="C141" s="25"/>
      <c r="D141" s="44" t="s">
        <v>133</v>
      </c>
      <c r="E141" s="45" t="s">
        <v>62</v>
      </c>
      <c r="F141" s="45" t="s">
        <v>279</v>
      </c>
      <c r="G141" s="46">
        <v>7.9619999999999997</v>
      </c>
      <c r="H141" s="47" t="s">
        <v>63</v>
      </c>
      <c r="I141" s="46" t="s">
        <v>243</v>
      </c>
    </row>
    <row r="142" spans="1:9" x14ac:dyDescent="0.25">
      <c r="A142" s="32"/>
      <c r="B142" s="26"/>
      <c r="C142" s="25"/>
      <c r="D142" s="44" t="s">
        <v>165</v>
      </c>
      <c r="E142" s="45" t="s">
        <v>62</v>
      </c>
      <c r="F142" s="45" t="s">
        <v>279</v>
      </c>
      <c r="G142" s="31">
        <v>0.17499999999999999</v>
      </c>
      <c r="H142" s="47" t="s">
        <v>63</v>
      </c>
      <c r="I142" s="46" t="s">
        <v>243</v>
      </c>
    </row>
    <row r="143" spans="1:9" x14ac:dyDescent="0.25">
      <c r="A143" s="59"/>
      <c r="B143" s="61"/>
      <c r="C143" s="60"/>
      <c r="D143" s="60"/>
      <c r="E143" s="63"/>
      <c r="F143" s="63"/>
      <c r="G143" s="59"/>
      <c r="H143" s="65"/>
      <c r="I143" s="59"/>
    </row>
    <row r="144" spans="1:9" x14ac:dyDescent="0.25">
      <c r="A144" s="31">
        <v>30</v>
      </c>
      <c r="B144" s="25" t="s">
        <v>61</v>
      </c>
      <c r="C144" s="25" t="s">
        <v>74</v>
      </c>
      <c r="D144" s="44" t="s">
        <v>29</v>
      </c>
      <c r="E144" s="45" t="s">
        <v>62</v>
      </c>
      <c r="F144" s="45">
        <v>46238</v>
      </c>
      <c r="G144" s="31">
        <v>140.399</v>
      </c>
      <c r="H144" s="69" t="s">
        <v>187</v>
      </c>
      <c r="I144" s="31" t="s">
        <v>13</v>
      </c>
    </row>
    <row r="145" spans="1:9" x14ac:dyDescent="0.25">
      <c r="A145" s="59"/>
      <c r="B145" s="61"/>
      <c r="C145" s="60"/>
      <c r="D145" s="60"/>
      <c r="E145" s="63"/>
      <c r="F145" s="62"/>
      <c r="G145" s="59"/>
      <c r="H145" s="65"/>
      <c r="I145" s="59"/>
    </row>
    <row r="146" spans="1:9" x14ac:dyDescent="0.25">
      <c r="A146" s="66">
        <v>31</v>
      </c>
      <c r="B146" s="25" t="s">
        <v>54</v>
      </c>
      <c r="C146" s="25" t="s">
        <v>74</v>
      </c>
      <c r="D146" s="44" t="s">
        <v>29</v>
      </c>
      <c r="E146" s="45" t="s">
        <v>62</v>
      </c>
      <c r="F146" s="45" t="s">
        <v>177</v>
      </c>
      <c r="G146" s="31">
        <v>6.8170000000000002</v>
      </c>
      <c r="H146" s="69" t="s">
        <v>16</v>
      </c>
      <c r="I146" s="31" t="s">
        <v>230</v>
      </c>
    </row>
    <row r="147" spans="1:9" x14ac:dyDescent="0.25">
      <c r="A147" s="66"/>
      <c r="B147" s="25"/>
      <c r="C147" s="25"/>
      <c r="D147" s="44" t="s">
        <v>168</v>
      </c>
      <c r="E147" s="45" t="s">
        <v>62</v>
      </c>
      <c r="F147" s="45">
        <v>46027</v>
      </c>
      <c r="G147" s="31">
        <v>4.8689999999999998</v>
      </c>
      <c r="H147" s="69" t="s">
        <v>16</v>
      </c>
      <c r="I147" s="31" t="s">
        <v>230</v>
      </c>
    </row>
    <row r="148" spans="1:9" x14ac:dyDescent="0.25">
      <c r="A148" s="66"/>
      <c r="B148" s="25"/>
      <c r="C148" s="25"/>
      <c r="D148" s="44" t="s">
        <v>182</v>
      </c>
      <c r="E148" s="45" t="s">
        <v>62</v>
      </c>
      <c r="F148" s="45" t="s">
        <v>387</v>
      </c>
      <c r="G148" s="31">
        <v>15.352</v>
      </c>
      <c r="H148" s="69" t="s">
        <v>31</v>
      </c>
      <c r="I148" s="31" t="s">
        <v>13</v>
      </c>
    </row>
    <row r="149" spans="1:9" x14ac:dyDescent="0.25">
      <c r="A149" s="66"/>
      <c r="B149" s="25"/>
      <c r="C149" s="25"/>
      <c r="D149" s="44" t="s">
        <v>123</v>
      </c>
      <c r="E149" s="45" t="s">
        <v>62</v>
      </c>
      <c r="F149" s="45" t="s">
        <v>411</v>
      </c>
      <c r="G149" s="31">
        <v>2.153</v>
      </c>
      <c r="H149" s="69" t="s">
        <v>31</v>
      </c>
      <c r="I149" s="46" t="s">
        <v>243</v>
      </c>
    </row>
    <row r="150" spans="1:9" x14ac:dyDescent="0.25">
      <c r="A150" s="59"/>
      <c r="B150" s="61"/>
      <c r="C150" s="60"/>
      <c r="D150" s="60"/>
      <c r="E150" s="63"/>
      <c r="F150" s="64"/>
      <c r="G150" s="59"/>
      <c r="H150" s="65"/>
      <c r="I150" s="59"/>
    </row>
    <row r="151" spans="1:9" x14ac:dyDescent="0.25">
      <c r="A151" s="31">
        <v>32</v>
      </c>
      <c r="B151" s="25" t="s">
        <v>58</v>
      </c>
      <c r="C151" s="25" t="s">
        <v>74</v>
      </c>
      <c r="D151" s="44" t="s">
        <v>90</v>
      </c>
      <c r="E151" s="45" t="s">
        <v>62</v>
      </c>
      <c r="F151" s="45" t="s">
        <v>188</v>
      </c>
      <c r="G151" s="31">
        <v>22.417999999999999</v>
      </c>
      <c r="H151" s="69" t="s">
        <v>31</v>
      </c>
      <c r="I151" s="31" t="s">
        <v>13</v>
      </c>
    </row>
    <row r="152" spans="1:9" x14ac:dyDescent="0.25">
      <c r="A152" s="31"/>
      <c r="B152" s="25"/>
      <c r="C152" s="25"/>
      <c r="D152" s="44" t="s">
        <v>146</v>
      </c>
      <c r="E152" s="45" t="s">
        <v>62</v>
      </c>
      <c r="F152" s="45">
        <v>46118</v>
      </c>
      <c r="G152" s="31">
        <v>4.2060000000000004</v>
      </c>
      <c r="H152" s="69" t="s">
        <v>63</v>
      </c>
      <c r="I152" s="46" t="s">
        <v>243</v>
      </c>
    </row>
    <row r="153" spans="1:9" x14ac:dyDescent="0.25">
      <c r="A153" s="31"/>
      <c r="B153" s="25"/>
      <c r="C153" s="25"/>
      <c r="D153" s="44" t="s">
        <v>373</v>
      </c>
      <c r="E153" s="45" t="s">
        <v>62</v>
      </c>
      <c r="F153" s="45" t="s">
        <v>411</v>
      </c>
      <c r="G153" s="31">
        <v>11.164999999999999</v>
      </c>
      <c r="H153" s="69" t="s">
        <v>28</v>
      </c>
      <c r="I153" s="46" t="s">
        <v>243</v>
      </c>
    </row>
    <row r="154" spans="1:9" x14ac:dyDescent="0.25">
      <c r="A154" s="31"/>
      <c r="B154" s="25"/>
      <c r="C154" s="25"/>
      <c r="D154" s="44" t="s">
        <v>156</v>
      </c>
      <c r="E154" s="45" t="s">
        <v>62</v>
      </c>
      <c r="F154" s="45" t="s">
        <v>411</v>
      </c>
      <c r="G154" s="31">
        <v>3.2210000000000001</v>
      </c>
      <c r="H154" s="69" t="s">
        <v>383</v>
      </c>
      <c r="I154" s="46" t="s">
        <v>243</v>
      </c>
    </row>
    <row r="155" spans="1:9" x14ac:dyDescent="0.25">
      <c r="A155" s="59"/>
      <c r="B155" s="61"/>
      <c r="C155" s="60"/>
      <c r="D155" s="60"/>
      <c r="E155" s="63"/>
      <c r="F155" s="64"/>
      <c r="G155" s="59"/>
      <c r="H155" s="65"/>
      <c r="I155" s="59"/>
    </row>
    <row r="156" spans="1:9" x14ac:dyDescent="0.25">
      <c r="A156" s="31">
        <v>33</v>
      </c>
      <c r="B156" s="25" t="s">
        <v>55</v>
      </c>
      <c r="C156" s="25" t="s">
        <v>74</v>
      </c>
      <c r="D156" s="44" t="s">
        <v>90</v>
      </c>
      <c r="E156" s="45" t="s">
        <v>62</v>
      </c>
      <c r="F156" s="45" t="s">
        <v>190</v>
      </c>
      <c r="G156" s="31">
        <v>16.271999999999998</v>
      </c>
      <c r="H156" s="69" t="s">
        <v>33</v>
      </c>
      <c r="I156" s="31" t="s">
        <v>13</v>
      </c>
    </row>
    <row r="157" spans="1:9" x14ac:dyDescent="0.25">
      <c r="A157" s="31"/>
      <c r="B157" s="25"/>
      <c r="C157" s="25"/>
      <c r="D157" s="44" t="s">
        <v>153</v>
      </c>
      <c r="E157" s="45" t="s">
        <v>62</v>
      </c>
      <c r="F157" s="45">
        <v>46158</v>
      </c>
      <c r="G157" s="31">
        <v>10.859</v>
      </c>
      <c r="H157" s="69" t="s">
        <v>50</v>
      </c>
      <c r="I157" s="31"/>
    </row>
    <row r="158" spans="1:9" x14ac:dyDescent="0.25">
      <c r="A158" s="31"/>
      <c r="B158" s="25"/>
      <c r="C158" s="25"/>
      <c r="D158" s="44" t="s">
        <v>165</v>
      </c>
      <c r="E158" s="45" t="s">
        <v>62</v>
      </c>
      <c r="F158" s="45">
        <v>46176</v>
      </c>
      <c r="G158" s="31">
        <v>4.4189999999999996</v>
      </c>
      <c r="H158" s="69" t="s">
        <v>50</v>
      </c>
      <c r="I158" s="31"/>
    </row>
    <row r="159" spans="1:9" x14ac:dyDescent="0.25">
      <c r="A159" s="59"/>
      <c r="B159" s="61"/>
      <c r="C159" s="60"/>
      <c r="D159" s="60"/>
      <c r="E159" s="63"/>
      <c r="F159" s="64"/>
      <c r="G159" s="59"/>
      <c r="H159" s="65"/>
      <c r="I159" s="59"/>
    </row>
    <row r="160" spans="1:9" x14ac:dyDescent="0.25">
      <c r="A160" s="31">
        <v>34</v>
      </c>
      <c r="B160" s="25" t="s">
        <v>209</v>
      </c>
      <c r="C160" s="25" t="s">
        <v>74</v>
      </c>
      <c r="D160" s="44" t="s">
        <v>90</v>
      </c>
      <c r="E160" s="45" t="s">
        <v>62</v>
      </c>
      <c r="F160" s="45">
        <v>46299</v>
      </c>
      <c r="G160" s="46">
        <v>1.04</v>
      </c>
      <c r="H160" s="69" t="s">
        <v>31</v>
      </c>
      <c r="I160" s="31" t="s">
        <v>13</v>
      </c>
    </row>
    <row r="161" spans="1:9" x14ac:dyDescent="0.25">
      <c r="A161" s="31"/>
      <c r="B161" s="25"/>
      <c r="C161" s="25"/>
      <c r="D161" s="44" t="s">
        <v>210</v>
      </c>
      <c r="E161" s="45" t="s">
        <v>62</v>
      </c>
      <c r="F161" s="45">
        <v>46299</v>
      </c>
      <c r="G161" s="46">
        <v>1.18</v>
      </c>
      <c r="H161" s="69" t="s">
        <v>31</v>
      </c>
      <c r="I161" s="46" t="s">
        <v>13</v>
      </c>
    </row>
    <row r="162" spans="1:9" x14ac:dyDescent="0.25">
      <c r="A162" s="31"/>
      <c r="B162" s="25"/>
      <c r="C162" s="25"/>
      <c r="D162" s="44" t="s">
        <v>200</v>
      </c>
      <c r="E162" s="45" t="s">
        <v>62</v>
      </c>
      <c r="F162" s="45">
        <v>46299</v>
      </c>
      <c r="G162" s="46">
        <v>1.26</v>
      </c>
      <c r="H162" s="69" t="s">
        <v>31</v>
      </c>
      <c r="I162" s="46" t="s">
        <v>13</v>
      </c>
    </row>
    <row r="163" spans="1:9" x14ac:dyDescent="0.25">
      <c r="A163" s="31"/>
      <c r="B163" s="25"/>
      <c r="C163" s="25"/>
      <c r="D163" s="44" t="s">
        <v>211</v>
      </c>
      <c r="E163" s="45" t="s">
        <v>62</v>
      </c>
      <c r="F163" s="45" t="s">
        <v>193</v>
      </c>
      <c r="G163" s="46">
        <v>1.02</v>
      </c>
      <c r="H163" s="69" t="s">
        <v>16</v>
      </c>
      <c r="I163" s="46" t="s">
        <v>243</v>
      </c>
    </row>
    <row r="164" spans="1:9" x14ac:dyDescent="0.25">
      <c r="A164" s="31"/>
      <c r="B164" s="25"/>
      <c r="C164" s="25"/>
      <c r="D164" s="44" t="s">
        <v>212</v>
      </c>
      <c r="E164" s="45" t="s">
        <v>62</v>
      </c>
      <c r="F164" s="45" t="s">
        <v>190</v>
      </c>
      <c r="G164" s="46">
        <v>1.69</v>
      </c>
      <c r="H164" s="69" t="s">
        <v>16</v>
      </c>
      <c r="I164" s="46"/>
    </row>
    <row r="165" spans="1:9" x14ac:dyDescent="0.25">
      <c r="A165" s="59"/>
      <c r="B165" s="61"/>
      <c r="C165" s="60"/>
      <c r="D165" s="60"/>
      <c r="E165" s="63"/>
      <c r="F165" s="62"/>
      <c r="G165" s="59"/>
      <c r="H165" s="65"/>
      <c r="I165" s="59"/>
    </row>
    <row r="166" spans="1:9" x14ac:dyDescent="0.25">
      <c r="A166" s="32">
        <v>35</v>
      </c>
      <c r="B166" s="26" t="s">
        <v>253</v>
      </c>
      <c r="C166" s="25" t="s">
        <v>74</v>
      </c>
      <c r="D166" s="44" t="s">
        <v>255</v>
      </c>
      <c r="E166" s="45" t="s">
        <v>62</v>
      </c>
      <c r="F166" s="45" t="s">
        <v>180</v>
      </c>
      <c r="G166" s="46">
        <v>16.399999999999999</v>
      </c>
      <c r="H166" s="47" t="s">
        <v>34</v>
      </c>
      <c r="I166" s="31"/>
    </row>
    <row r="167" spans="1:9" x14ac:dyDescent="0.25">
      <c r="A167" s="32"/>
      <c r="B167" s="26"/>
      <c r="C167" s="25"/>
      <c r="D167" s="44" t="s">
        <v>254</v>
      </c>
      <c r="E167" s="45" t="s">
        <v>62</v>
      </c>
      <c r="F167" s="45">
        <v>46270</v>
      </c>
      <c r="G167" s="46">
        <v>26.760999999999999</v>
      </c>
      <c r="H167" s="47" t="s">
        <v>35</v>
      </c>
      <c r="I167" s="46" t="s">
        <v>243</v>
      </c>
    </row>
    <row r="168" spans="1:9" x14ac:dyDescent="0.25">
      <c r="A168" s="59"/>
      <c r="B168" s="49"/>
      <c r="C168" s="60"/>
      <c r="D168" s="60"/>
      <c r="E168" s="63"/>
      <c r="F168" s="62"/>
      <c r="G168" s="59"/>
      <c r="H168" s="65"/>
      <c r="I168" s="59"/>
    </row>
    <row r="169" spans="1:9" x14ac:dyDescent="0.25">
      <c r="A169" s="66">
        <v>36</v>
      </c>
      <c r="B169" s="25" t="s">
        <v>56</v>
      </c>
      <c r="C169" s="25" t="s">
        <v>74</v>
      </c>
      <c r="D169" s="44" t="s">
        <v>90</v>
      </c>
      <c r="E169" s="45" t="s">
        <v>62</v>
      </c>
      <c r="F169" s="45">
        <v>46147</v>
      </c>
      <c r="G169" s="46">
        <v>1.661</v>
      </c>
      <c r="H169" s="47" t="s">
        <v>31</v>
      </c>
      <c r="I169" s="47" t="s">
        <v>17</v>
      </c>
    </row>
    <row r="170" spans="1:9" x14ac:dyDescent="0.25">
      <c r="A170" s="66"/>
      <c r="B170" s="25"/>
      <c r="C170" s="26"/>
      <c r="D170" s="25" t="s">
        <v>181</v>
      </c>
      <c r="E170" s="45" t="s">
        <v>62</v>
      </c>
      <c r="F170" s="45" t="s">
        <v>268</v>
      </c>
      <c r="G170" s="31">
        <v>2.4529999999999998</v>
      </c>
      <c r="H170" s="47" t="s">
        <v>35</v>
      </c>
      <c r="I170" s="46" t="s">
        <v>243</v>
      </c>
    </row>
    <row r="171" spans="1:9" x14ac:dyDescent="0.25">
      <c r="A171" s="59"/>
      <c r="B171" s="61"/>
      <c r="C171" s="60"/>
      <c r="D171" s="60"/>
      <c r="E171" s="63"/>
      <c r="F171" s="64"/>
      <c r="G171" s="59"/>
      <c r="H171" s="65"/>
      <c r="I171" s="59"/>
    </row>
    <row r="172" spans="1:9" x14ac:dyDescent="0.25">
      <c r="A172" s="31">
        <v>37</v>
      </c>
      <c r="B172" s="25" t="s">
        <v>59</v>
      </c>
      <c r="C172" s="25" t="s">
        <v>74</v>
      </c>
      <c r="D172" s="44" t="s">
        <v>90</v>
      </c>
      <c r="E172" s="45" t="s">
        <v>62</v>
      </c>
      <c r="F172" s="45" t="s">
        <v>188</v>
      </c>
      <c r="G172" s="31">
        <v>2.762</v>
      </c>
      <c r="H172" s="69" t="s">
        <v>35</v>
      </c>
      <c r="I172" s="31" t="s">
        <v>120</v>
      </c>
    </row>
    <row r="173" spans="1:9" x14ac:dyDescent="0.25">
      <c r="A173" s="31"/>
      <c r="B173" s="25"/>
      <c r="C173" s="25"/>
      <c r="D173" s="44" t="s">
        <v>140</v>
      </c>
      <c r="E173" s="45" t="s">
        <v>62</v>
      </c>
      <c r="F173" s="45" t="s">
        <v>188</v>
      </c>
      <c r="G173" s="31">
        <v>1.2589999999999999</v>
      </c>
      <c r="H173" s="69" t="s">
        <v>35</v>
      </c>
      <c r="I173" s="31" t="s">
        <v>120</v>
      </c>
    </row>
    <row r="174" spans="1:9" x14ac:dyDescent="0.25">
      <c r="A174" s="59"/>
      <c r="B174" s="61"/>
      <c r="C174" s="60"/>
      <c r="D174" s="60"/>
      <c r="E174" s="63"/>
      <c r="F174" s="62"/>
      <c r="G174" s="59"/>
      <c r="H174" s="65"/>
      <c r="I174" s="59"/>
    </row>
    <row r="175" spans="1:9" x14ac:dyDescent="0.25">
      <c r="A175" s="32">
        <v>38</v>
      </c>
      <c r="B175" s="26" t="s">
        <v>57</v>
      </c>
      <c r="C175" s="25" t="s">
        <v>74</v>
      </c>
      <c r="D175" s="44" t="s">
        <v>135</v>
      </c>
      <c r="E175" s="45" t="s">
        <v>62</v>
      </c>
      <c r="F175" s="45" t="s">
        <v>333</v>
      </c>
      <c r="G175" s="31">
        <v>11.65</v>
      </c>
      <c r="H175" s="47" t="s">
        <v>17</v>
      </c>
      <c r="I175" s="31"/>
    </row>
    <row r="176" spans="1:9" x14ac:dyDescent="0.25">
      <c r="A176" s="32"/>
      <c r="B176" s="26"/>
      <c r="C176" s="25"/>
      <c r="D176" s="44" t="s">
        <v>133</v>
      </c>
      <c r="E176" s="45" t="s">
        <v>62</v>
      </c>
      <c r="F176" s="45" t="s">
        <v>411</v>
      </c>
      <c r="G176" s="31">
        <v>6.0620000000000003</v>
      </c>
      <c r="H176" s="47" t="s">
        <v>33</v>
      </c>
      <c r="I176" s="31" t="s">
        <v>108</v>
      </c>
    </row>
    <row r="177" spans="1:9" x14ac:dyDescent="0.25">
      <c r="A177" s="32"/>
      <c r="B177" s="26"/>
      <c r="C177" s="25"/>
      <c r="D177" s="44" t="s">
        <v>178</v>
      </c>
      <c r="E177" s="45" t="s">
        <v>62</v>
      </c>
      <c r="F177" s="45" t="s">
        <v>411</v>
      </c>
      <c r="G177" s="31">
        <v>2.2949999999999999</v>
      </c>
      <c r="H177" s="47" t="s">
        <v>15</v>
      </c>
      <c r="I177" s="31" t="s">
        <v>108</v>
      </c>
    </row>
    <row r="178" spans="1:9" x14ac:dyDescent="0.25">
      <c r="A178" s="59"/>
      <c r="B178" s="61"/>
      <c r="C178" s="60"/>
      <c r="D178" s="60"/>
      <c r="E178" s="63"/>
      <c r="F178" s="64"/>
      <c r="G178" s="59"/>
      <c r="H178" s="65"/>
      <c r="I178" s="59"/>
    </row>
    <row r="179" spans="1:9" x14ac:dyDescent="0.25">
      <c r="A179" s="31">
        <v>39</v>
      </c>
      <c r="B179" s="25" t="s">
        <v>65</v>
      </c>
      <c r="C179" s="25" t="s">
        <v>74</v>
      </c>
      <c r="D179" s="44" t="s">
        <v>90</v>
      </c>
      <c r="E179" s="45" t="s">
        <v>62</v>
      </c>
      <c r="F179" s="45" t="s">
        <v>188</v>
      </c>
      <c r="G179" s="31">
        <v>1.577</v>
      </c>
      <c r="H179" s="47" t="s">
        <v>31</v>
      </c>
      <c r="I179" s="46" t="s">
        <v>243</v>
      </c>
    </row>
    <row r="180" spans="1:9" x14ac:dyDescent="0.25">
      <c r="A180" s="31"/>
      <c r="B180" s="25"/>
      <c r="C180" s="25"/>
      <c r="D180" s="44" t="s">
        <v>153</v>
      </c>
      <c r="E180" s="45" t="s">
        <v>62</v>
      </c>
      <c r="F180" s="45">
        <v>46027</v>
      </c>
      <c r="G180" s="31">
        <v>4.1070000000000002</v>
      </c>
      <c r="H180" s="69" t="s">
        <v>194</v>
      </c>
      <c r="I180" s="31"/>
    </row>
    <row r="181" spans="1:9" x14ac:dyDescent="0.25">
      <c r="A181" s="59"/>
      <c r="B181" s="61"/>
      <c r="C181" s="60"/>
      <c r="D181" s="60"/>
      <c r="E181" s="63"/>
      <c r="F181" s="64"/>
      <c r="G181" s="59"/>
      <c r="H181" s="65"/>
      <c r="I181" s="59"/>
    </row>
    <row r="182" spans="1:9" x14ac:dyDescent="0.25">
      <c r="A182" s="31">
        <v>40</v>
      </c>
      <c r="B182" s="25" t="s">
        <v>66</v>
      </c>
      <c r="C182" s="25" t="s">
        <v>37</v>
      </c>
      <c r="D182" s="44" t="s">
        <v>192</v>
      </c>
      <c r="E182" s="45" t="s">
        <v>62</v>
      </c>
      <c r="F182" s="45">
        <v>46148</v>
      </c>
      <c r="G182" s="31">
        <v>1.089</v>
      </c>
      <c r="H182" s="69" t="s">
        <v>228</v>
      </c>
      <c r="I182" s="31"/>
    </row>
    <row r="183" spans="1:9" x14ac:dyDescent="0.25">
      <c r="A183" s="31"/>
      <c r="B183" s="25"/>
      <c r="C183" s="25"/>
      <c r="D183" s="44" t="s">
        <v>242</v>
      </c>
      <c r="E183" s="45" t="s">
        <v>62</v>
      </c>
      <c r="F183" s="45">
        <v>46149</v>
      </c>
      <c r="G183" s="31">
        <v>6.8760000000000003</v>
      </c>
      <c r="H183" s="69" t="s">
        <v>228</v>
      </c>
      <c r="I183" s="31"/>
    </row>
    <row r="184" spans="1:9" x14ac:dyDescent="0.25">
      <c r="A184" s="59"/>
      <c r="B184" s="61"/>
      <c r="C184" s="60"/>
      <c r="D184" s="60"/>
      <c r="E184" s="63"/>
      <c r="F184" s="64"/>
      <c r="G184" s="59"/>
      <c r="H184" s="65"/>
      <c r="I184" s="59"/>
    </row>
    <row r="185" spans="1:9" x14ac:dyDescent="0.25">
      <c r="A185" s="31">
        <v>41</v>
      </c>
      <c r="B185" s="25" t="s">
        <v>213</v>
      </c>
      <c r="C185" s="25" t="s">
        <v>37</v>
      </c>
      <c r="D185" s="44" t="s">
        <v>214</v>
      </c>
      <c r="E185" s="45" t="s">
        <v>62</v>
      </c>
      <c r="F185" s="45">
        <v>46157</v>
      </c>
      <c r="G185" s="31">
        <v>29.74</v>
      </c>
      <c r="H185" s="69" t="s">
        <v>17</v>
      </c>
      <c r="I185" s="31"/>
    </row>
    <row r="186" spans="1:9" x14ac:dyDescent="0.25">
      <c r="A186" s="66"/>
      <c r="B186" s="70"/>
      <c r="C186" s="70"/>
      <c r="D186" s="72" t="s">
        <v>287</v>
      </c>
      <c r="E186" s="45" t="s">
        <v>62</v>
      </c>
      <c r="F186" s="45">
        <v>46174</v>
      </c>
      <c r="G186" s="66">
        <v>2.4500000000000002</v>
      </c>
      <c r="H186" s="94" t="s">
        <v>35</v>
      </c>
      <c r="I186" s="46" t="s">
        <v>243</v>
      </c>
    </row>
    <row r="187" spans="1:9" x14ac:dyDescent="0.25">
      <c r="A187" s="66"/>
      <c r="B187" s="70"/>
      <c r="C187" s="70"/>
      <c r="D187" s="72" t="s">
        <v>491</v>
      </c>
      <c r="E187" s="45" t="s">
        <v>62</v>
      </c>
      <c r="F187" s="45" t="s">
        <v>485</v>
      </c>
      <c r="G187" s="66">
        <v>14.173999999999999</v>
      </c>
      <c r="H187" s="94" t="s">
        <v>35</v>
      </c>
      <c r="I187" s="74"/>
    </row>
    <row r="188" spans="1:9" x14ac:dyDescent="0.25">
      <c r="A188" s="59"/>
      <c r="B188" s="61"/>
      <c r="C188" s="60"/>
      <c r="D188" s="60"/>
      <c r="E188" s="63"/>
      <c r="F188" s="64"/>
      <c r="G188" s="59"/>
      <c r="H188" s="65"/>
      <c r="I188" s="59"/>
    </row>
    <row r="189" spans="1:9" x14ac:dyDescent="0.25">
      <c r="A189" s="31">
        <v>42</v>
      </c>
      <c r="B189" s="25" t="s">
        <v>240</v>
      </c>
      <c r="C189" s="25" t="s">
        <v>37</v>
      </c>
      <c r="D189" s="44" t="s">
        <v>241</v>
      </c>
      <c r="E189" s="45" t="s">
        <v>62</v>
      </c>
      <c r="F189" s="45">
        <v>46270</v>
      </c>
      <c r="G189" s="92"/>
      <c r="H189" s="69" t="s">
        <v>63</v>
      </c>
      <c r="I189" s="31"/>
    </row>
    <row r="190" spans="1:9" x14ac:dyDescent="0.25">
      <c r="A190" s="59"/>
      <c r="B190" s="61"/>
      <c r="C190" s="60"/>
      <c r="D190" s="60"/>
      <c r="E190" s="63"/>
      <c r="F190" s="64"/>
      <c r="G190" s="59"/>
      <c r="H190" s="65"/>
      <c r="I190" s="59"/>
    </row>
    <row r="191" spans="1:9" x14ac:dyDescent="0.25">
      <c r="A191" s="31">
        <v>43</v>
      </c>
      <c r="B191" s="25" t="s">
        <v>245</v>
      </c>
      <c r="C191" s="25" t="s">
        <v>74</v>
      </c>
      <c r="D191" s="44" t="s">
        <v>90</v>
      </c>
      <c r="E191" s="45" t="s">
        <v>62</v>
      </c>
      <c r="F191" s="45" t="s">
        <v>268</v>
      </c>
      <c r="G191" s="31">
        <v>3.6909999999999998</v>
      </c>
      <c r="H191" s="67" t="s">
        <v>31</v>
      </c>
      <c r="I191" s="46" t="s">
        <v>243</v>
      </c>
    </row>
    <row r="192" spans="1:9" x14ac:dyDescent="0.25">
      <c r="A192" s="31"/>
      <c r="B192" s="25"/>
      <c r="C192" s="25"/>
      <c r="D192" s="44" t="s">
        <v>265</v>
      </c>
      <c r="E192" s="45" t="s">
        <v>62</v>
      </c>
      <c r="F192" s="45">
        <v>46148</v>
      </c>
      <c r="G192" s="31">
        <v>5.4279999999999999</v>
      </c>
      <c r="H192" s="67" t="s">
        <v>31</v>
      </c>
      <c r="I192" s="31"/>
    </row>
    <row r="193" spans="1:9" x14ac:dyDescent="0.25">
      <c r="A193" s="59"/>
      <c r="B193" s="61"/>
      <c r="C193" s="60"/>
      <c r="D193" s="60"/>
      <c r="E193" s="63"/>
      <c r="F193" s="64"/>
      <c r="G193" s="59"/>
      <c r="H193" s="65"/>
      <c r="I193" s="59"/>
    </row>
    <row r="194" spans="1:9" x14ac:dyDescent="0.25">
      <c r="A194" s="31">
        <v>44</v>
      </c>
      <c r="B194" s="25" t="s">
        <v>263</v>
      </c>
      <c r="C194" s="25" t="s">
        <v>74</v>
      </c>
      <c r="D194" s="44" t="s">
        <v>29</v>
      </c>
      <c r="E194" s="45" t="s">
        <v>62</v>
      </c>
      <c r="F194" s="45">
        <v>46148</v>
      </c>
      <c r="G194" s="31">
        <v>20.783999999999999</v>
      </c>
      <c r="H194" s="69" t="s">
        <v>50</v>
      </c>
      <c r="I194" s="31"/>
    </row>
    <row r="195" spans="1:9" x14ac:dyDescent="0.25">
      <c r="A195" s="31"/>
      <c r="B195" s="25"/>
      <c r="C195" s="25"/>
      <c r="D195" s="44" t="s">
        <v>53</v>
      </c>
      <c r="E195" s="45" t="s">
        <v>62</v>
      </c>
      <c r="F195" s="45" t="s">
        <v>269</v>
      </c>
      <c r="G195" s="31">
        <v>0.55100000000000005</v>
      </c>
      <c r="H195" s="69" t="s">
        <v>94</v>
      </c>
      <c r="I195" s="31" t="s">
        <v>243</v>
      </c>
    </row>
    <row r="196" spans="1:9" x14ac:dyDescent="0.25">
      <c r="A196" s="31"/>
      <c r="B196" s="25"/>
      <c r="C196" s="25"/>
      <c r="D196" s="44" t="s">
        <v>430</v>
      </c>
      <c r="E196" s="45" t="s">
        <v>62</v>
      </c>
      <c r="F196" s="45">
        <v>46060</v>
      </c>
      <c r="G196" s="31">
        <v>34.64</v>
      </c>
      <c r="H196" s="69" t="s">
        <v>16</v>
      </c>
      <c r="I196" s="31"/>
    </row>
    <row r="197" spans="1:9" x14ac:dyDescent="0.25">
      <c r="A197" s="31"/>
      <c r="B197" s="25"/>
      <c r="C197" s="25"/>
      <c r="D197" s="44" t="s">
        <v>431</v>
      </c>
      <c r="E197" s="45" t="s">
        <v>62</v>
      </c>
      <c r="F197" s="45" t="s">
        <v>450</v>
      </c>
      <c r="G197" s="31">
        <v>6.1280000000000001</v>
      </c>
      <c r="H197" s="69" t="s">
        <v>33</v>
      </c>
      <c r="I197" s="31"/>
    </row>
    <row r="198" spans="1:9" x14ac:dyDescent="0.25">
      <c r="A198" s="59"/>
      <c r="B198" s="61"/>
      <c r="C198" s="60"/>
      <c r="D198" s="60"/>
      <c r="E198" s="63"/>
      <c r="F198" s="64"/>
      <c r="G198" s="59"/>
      <c r="H198" s="65"/>
      <c r="I198" s="59"/>
    </row>
    <row r="199" spans="1:9" x14ac:dyDescent="0.25">
      <c r="A199" s="31">
        <v>45</v>
      </c>
      <c r="B199" s="25" t="s">
        <v>264</v>
      </c>
      <c r="C199" s="25" t="s">
        <v>74</v>
      </c>
      <c r="D199" s="44" t="s">
        <v>423</v>
      </c>
      <c r="E199" s="76" t="s">
        <v>62</v>
      </c>
      <c r="F199" s="45" t="s">
        <v>382</v>
      </c>
      <c r="G199" s="31"/>
      <c r="H199" s="69" t="s">
        <v>392</v>
      </c>
      <c r="I199" s="31"/>
    </row>
    <row r="200" spans="1:9" x14ac:dyDescent="0.25">
      <c r="A200" s="31"/>
      <c r="B200" s="25"/>
      <c r="C200" s="25"/>
      <c r="D200" s="44" t="s">
        <v>422</v>
      </c>
      <c r="E200" s="76" t="s">
        <v>62</v>
      </c>
      <c r="F200" s="45" t="s">
        <v>411</v>
      </c>
      <c r="G200" s="31"/>
      <c r="H200" s="69" t="s">
        <v>392</v>
      </c>
      <c r="I200" s="31"/>
    </row>
    <row r="201" spans="1:9" x14ac:dyDescent="0.25">
      <c r="A201" s="31"/>
      <c r="B201" s="25"/>
      <c r="C201" s="25"/>
      <c r="D201" s="44" t="s">
        <v>424</v>
      </c>
      <c r="E201" s="76" t="s">
        <v>62</v>
      </c>
      <c r="F201" s="45">
        <v>46088</v>
      </c>
      <c r="G201" s="31"/>
      <c r="H201" s="69" t="s">
        <v>17</v>
      </c>
      <c r="I201" s="31"/>
    </row>
    <row r="202" spans="1:9" x14ac:dyDescent="0.25">
      <c r="A202" s="31"/>
      <c r="B202" s="25"/>
      <c r="C202" s="25"/>
      <c r="D202" s="44" t="s">
        <v>435</v>
      </c>
      <c r="E202" s="76" t="s">
        <v>62</v>
      </c>
      <c r="F202" s="45" t="s">
        <v>475</v>
      </c>
      <c r="G202" s="31"/>
      <c r="H202" s="69" t="s">
        <v>17</v>
      </c>
      <c r="I202" s="31"/>
    </row>
    <row r="203" spans="1:9" x14ac:dyDescent="0.25">
      <c r="A203" s="31"/>
      <c r="B203" s="25"/>
      <c r="C203" s="25"/>
      <c r="D203" s="44" t="s">
        <v>434</v>
      </c>
      <c r="E203" s="76" t="s">
        <v>62</v>
      </c>
      <c r="F203" s="45" t="s">
        <v>332</v>
      </c>
      <c r="G203" s="31"/>
      <c r="H203" s="69" t="s">
        <v>17</v>
      </c>
      <c r="I203" s="31"/>
    </row>
    <row r="204" spans="1:9" x14ac:dyDescent="0.25">
      <c r="A204" s="31"/>
      <c r="B204" s="25"/>
      <c r="C204" s="25"/>
      <c r="D204" s="44" t="s">
        <v>297</v>
      </c>
      <c r="E204" s="76" t="s">
        <v>62</v>
      </c>
      <c r="F204" s="45" t="s">
        <v>486</v>
      </c>
      <c r="G204" s="31"/>
      <c r="H204" s="69" t="s">
        <v>63</v>
      </c>
      <c r="I204" s="31"/>
    </row>
    <row r="205" spans="1:9" x14ac:dyDescent="0.25">
      <c r="A205" s="31"/>
      <c r="B205" s="25"/>
      <c r="C205" s="25"/>
      <c r="D205" s="44" t="s">
        <v>478</v>
      </c>
      <c r="E205" s="76" t="s">
        <v>62</v>
      </c>
      <c r="F205" s="45"/>
      <c r="G205" s="31"/>
      <c r="H205" s="69" t="s">
        <v>16</v>
      </c>
      <c r="I205" s="31"/>
    </row>
    <row r="206" spans="1:9" x14ac:dyDescent="0.25">
      <c r="A206" s="31"/>
      <c r="B206" s="25"/>
      <c r="C206" s="25"/>
      <c r="D206" s="44" t="s">
        <v>298</v>
      </c>
      <c r="E206" s="76" t="s">
        <v>62</v>
      </c>
      <c r="F206" s="45" t="s">
        <v>486</v>
      </c>
      <c r="G206" s="31"/>
      <c r="H206" s="69"/>
      <c r="I206" s="31"/>
    </row>
    <row r="207" spans="1:9" x14ac:dyDescent="0.25">
      <c r="A207" s="31"/>
      <c r="B207" s="25"/>
      <c r="C207" s="25"/>
      <c r="D207" s="44" t="s">
        <v>488</v>
      </c>
      <c r="E207" s="45" t="s">
        <v>166</v>
      </c>
      <c r="F207" s="45"/>
      <c r="G207" s="31"/>
      <c r="H207" s="69"/>
      <c r="I207" s="31"/>
    </row>
    <row r="208" spans="1:9" x14ac:dyDescent="0.25">
      <c r="A208" s="31"/>
      <c r="B208" s="25"/>
      <c r="C208" s="25"/>
      <c r="D208" s="44" t="s">
        <v>299</v>
      </c>
      <c r="E208" s="76" t="s">
        <v>64</v>
      </c>
      <c r="F208" s="45" t="s">
        <v>487</v>
      </c>
      <c r="G208" s="31"/>
      <c r="H208" s="69"/>
      <c r="I208" s="31"/>
    </row>
    <row r="209" spans="1:9" x14ac:dyDescent="0.25">
      <c r="A209" s="31"/>
      <c r="B209" s="25"/>
      <c r="C209" s="25"/>
      <c r="D209" s="44" t="s">
        <v>393</v>
      </c>
      <c r="E209" s="45" t="s">
        <v>166</v>
      </c>
      <c r="F209" s="45"/>
      <c r="G209" s="31"/>
      <c r="H209" s="69"/>
      <c r="I209" s="31"/>
    </row>
    <row r="210" spans="1:9" x14ac:dyDescent="0.25">
      <c r="A210" s="31"/>
      <c r="B210" s="25"/>
      <c r="C210" s="25"/>
      <c r="D210" s="44" t="s">
        <v>300</v>
      </c>
      <c r="E210" s="76" t="s">
        <v>64</v>
      </c>
      <c r="F210" s="45" t="s">
        <v>487</v>
      </c>
      <c r="G210" s="31"/>
      <c r="H210" s="69"/>
      <c r="I210" s="31"/>
    </row>
    <row r="211" spans="1:9" x14ac:dyDescent="0.25">
      <c r="A211" s="31"/>
      <c r="B211" s="25"/>
      <c r="C211" s="25"/>
      <c r="D211" s="44" t="s">
        <v>394</v>
      </c>
      <c r="E211" s="45" t="s">
        <v>166</v>
      </c>
      <c r="F211" s="45"/>
      <c r="G211" s="31"/>
      <c r="H211" s="69"/>
      <c r="I211" s="31"/>
    </row>
    <row r="212" spans="1:9" x14ac:dyDescent="0.25">
      <c r="A212" s="31"/>
      <c r="B212" s="25"/>
      <c r="C212" s="25"/>
      <c r="D212" s="44" t="s">
        <v>301</v>
      </c>
      <c r="E212" s="76" t="s">
        <v>64</v>
      </c>
      <c r="F212" s="45">
        <v>46121</v>
      </c>
      <c r="G212" s="31"/>
      <c r="H212" s="69"/>
      <c r="I212" s="31"/>
    </row>
    <row r="213" spans="1:9" x14ac:dyDescent="0.25">
      <c r="A213" s="31"/>
      <c r="B213" s="25"/>
      <c r="C213" s="25"/>
      <c r="D213" s="44" t="s">
        <v>395</v>
      </c>
      <c r="E213" s="45" t="s">
        <v>166</v>
      </c>
      <c r="F213" s="45"/>
      <c r="G213" s="31"/>
      <c r="H213" s="69"/>
      <c r="I213" s="31"/>
    </row>
    <row r="214" spans="1:9" x14ac:dyDescent="0.25">
      <c r="A214" s="31"/>
      <c r="B214" s="25"/>
      <c r="C214" s="25"/>
      <c r="D214" s="44" t="s">
        <v>302</v>
      </c>
      <c r="E214" s="76" t="s">
        <v>64</v>
      </c>
      <c r="F214" s="45">
        <v>46121</v>
      </c>
      <c r="G214" s="31"/>
      <c r="H214" s="69"/>
      <c r="I214" s="31"/>
    </row>
    <row r="215" spans="1:9" x14ac:dyDescent="0.25">
      <c r="A215" s="31"/>
      <c r="B215" s="25"/>
      <c r="C215" s="25"/>
      <c r="D215" s="44" t="s">
        <v>396</v>
      </c>
      <c r="E215" s="45" t="s">
        <v>166</v>
      </c>
      <c r="F215" s="45"/>
      <c r="G215" s="31"/>
      <c r="H215" s="69"/>
      <c r="I215" s="31"/>
    </row>
    <row r="216" spans="1:9" x14ac:dyDescent="0.25">
      <c r="A216" s="31"/>
      <c r="B216" s="25"/>
      <c r="C216" s="25"/>
      <c r="D216" s="44" t="s">
        <v>303</v>
      </c>
      <c r="E216" s="45" t="s">
        <v>166</v>
      </c>
      <c r="F216" s="45">
        <v>46335</v>
      </c>
      <c r="G216" s="31"/>
      <c r="H216" s="69"/>
      <c r="I216" s="31"/>
    </row>
    <row r="217" spans="1:9" x14ac:dyDescent="0.25">
      <c r="A217" s="31"/>
      <c r="B217" s="25"/>
      <c r="C217" s="25"/>
      <c r="D217" s="44" t="s">
        <v>397</v>
      </c>
      <c r="E217" s="45" t="s">
        <v>166</v>
      </c>
      <c r="F217" s="45"/>
      <c r="G217" s="31"/>
      <c r="H217" s="69"/>
      <c r="I217" s="31"/>
    </row>
    <row r="218" spans="1:9" x14ac:dyDescent="0.25">
      <c r="A218" s="31"/>
      <c r="B218" s="25"/>
      <c r="C218" s="25"/>
      <c r="D218" s="44" t="s">
        <v>304</v>
      </c>
      <c r="E218" s="45" t="s">
        <v>166</v>
      </c>
      <c r="F218" s="45">
        <v>46335</v>
      </c>
      <c r="G218" s="31"/>
      <c r="H218" s="69"/>
      <c r="I218" s="31"/>
    </row>
    <row r="219" spans="1:9" x14ac:dyDescent="0.25">
      <c r="A219" s="31"/>
      <c r="B219" s="25"/>
      <c r="C219" s="25"/>
      <c r="D219" s="44" t="s">
        <v>398</v>
      </c>
      <c r="E219" s="45" t="s">
        <v>166</v>
      </c>
      <c r="F219" s="45"/>
      <c r="G219" s="31"/>
      <c r="H219" s="69"/>
      <c r="I219" s="31"/>
    </row>
    <row r="220" spans="1:9" x14ac:dyDescent="0.25">
      <c r="A220" s="31"/>
      <c r="B220" s="25"/>
      <c r="C220" s="25"/>
      <c r="D220" s="44" t="s">
        <v>305</v>
      </c>
      <c r="E220" s="45" t="s">
        <v>166</v>
      </c>
      <c r="F220" s="45" t="s">
        <v>506</v>
      </c>
      <c r="G220" s="31"/>
      <c r="H220" s="69"/>
      <c r="I220" s="31"/>
    </row>
    <row r="221" spans="1:9" x14ac:dyDescent="0.25">
      <c r="A221" s="31"/>
      <c r="B221" s="25"/>
      <c r="C221" s="25"/>
      <c r="D221" s="44" t="s">
        <v>399</v>
      </c>
      <c r="E221" s="45" t="s">
        <v>166</v>
      </c>
      <c r="F221" s="45"/>
      <c r="G221" s="31"/>
      <c r="H221" s="69"/>
      <c r="I221" s="31"/>
    </row>
    <row r="222" spans="1:9" x14ac:dyDescent="0.25">
      <c r="A222" s="31"/>
      <c r="B222" s="25"/>
      <c r="C222" s="25"/>
      <c r="D222" s="44" t="s">
        <v>306</v>
      </c>
      <c r="E222" s="45" t="s">
        <v>166</v>
      </c>
      <c r="F222" s="45" t="s">
        <v>506</v>
      </c>
      <c r="G222" s="31"/>
      <c r="H222" s="69"/>
      <c r="I222" s="31"/>
    </row>
    <row r="223" spans="1:9" x14ac:dyDescent="0.25">
      <c r="A223" s="31"/>
      <c r="B223" s="25"/>
      <c r="C223" s="25"/>
      <c r="D223" s="44" t="s">
        <v>400</v>
      </c>
      <c r="E223" s="45" t="s">
        <v>166</v>
      </c>
      <c r="F223" s="45"/>
      <c r="G223" s="31"/>
      <c r="H223" s="69"/>
      <c r="I223" s="31"/>
    </row>
    <row r="224" spans="1:9" x14ac:dyDescent="0.25">
      <c r="A224" s="31"/>
      <c r="B224" s="25"/>
      <c r="C224" s="25"/>
      <c r="D224" s="44" t="s">
        <v>307</v>
      </c>
      <c r="E224" s="45" t="s">
        <v>166</v>
      </c>
      <c r="F224" s="45" t="s">
        <v>506</v>
      </c>
      <c r="G224" s="31"/>
      <c r="H224" s="69"/>
      <c r="I224" s="31"/>
    </row>
    <row r="225" spans="1:9" x14ac:dyDescent="0.25">
      <c r="A225" s="31"/>
      <c r="B225" s="25"/>
      <c r="C225" s="25"/>
      <c r="D225" s="44" t="s">
        <v>401</v>
      </c>
      <c r="E225" s="45" t="s">
        <v>166</v>
      </c>
      <c r="F225" s="45"/>
      <c r="G225" s="31"/>
      <c r="H225" s="69"/>
      <c r="I225" s="31"/>
    </row>
    <row r="226" spans="1:9" x14ac:dyDescent="0.25">
      <c r="A226" s="31"/>
      <c r="B226" s="25"/>
      <c r="C226" s="25"/>
      <c r="D226" s="44" t="s">
        <v>308</v>
      </c>
      <c r="E226" s="45" t="s">
        <v>166</v>
      </c>
      <c r="F226" s="45" t="s">
        <v>507</v>
      </c>
      <c r="G226" s="31"/>
      <c r="H226" s="69"/>
      <c r="I226" s="31"/>
    </row>
    <row r="227" spans="1:9" x14ac:dyDescent="0.25">
      <c r="A227" s="31"/>
      <c r="B227" s="25"/>
      <c r="C227" s="25"/>
      <c r="D227" s="44" t="s">
        <v>402</v>
      </c>
      <c r="E227" s="45" t="s">
        <v>166</v>
      </c>
      <c r="F227" s="45"/>
      <c r="G227" s="31"/>
      <c r="H227" s="69"/>
      <c r="I227" s="31"/>
    </row>
    <row r="228" spans="1:9" x14ac:dyDescent="0.25">
      <c r="A228" s="31"/>
      <c r="B228" s="25"/>
      <c r="C228" s="25"/>
      <c r="D228" s="44" t="s">
        <v>309</v>
      </c>
      <c r="E228" s="45" t="s">
        <v>166</v>
      </c>
      <c r="F228" s="45" t="s">
        <v>507</v>
      </c>
      <c r="G228" s="31"/>
      <c r="H228" s="69"/>
      <c r="I228" s="31"/>
    </row>
    <row r="229" spans="1:9" x14ac:dyDescent="0.25">
      <c r="A229" s="31"/>
      <c r="B229" s="25"/>
      <c r="C229" s="25"/>
      <c r="D229" s="44" t="s">
        <v>403</v>
      </c>
      <c r="E229" s="45" t="s">
        <v>166</v>
      </c>
      <c r="F229" s="45"/>
      <c r="G229" s="31"/>
      <c r="H229" s="69"/>
      <c r="I229" s="31"/>
    </row>
    <row r="230" spans="1:9" x14ac:dyDescent="0.25">
      <c r="A230" s="31"/>
      <c r="B230" s="25"/>
      <c r="C230" s="25"/>
      <c r="D230" s="44" t="s">
        <v>310</v>
      </c>
      <c r="E230" s="45" t="s">
        <v>166</v>
      </c>
      <c r="F230" s="45" t="s">
        <v>507</v>
      </c>
      <c r="G230" s="31"/>
      <c r="H230" s="69"/>
      <c r="I230" s="31"/>
    </row>
    <row r="231" spans="1:9" x14ac:dyDescent="0.25">
      <c r="A231" s="31"/>
      <c r="B231" s="25"/>
      <c r="C231" s="25"/>
      <c r="D231" s="44" t="s">
        <v>404</v>
      </c>
      <c r="E231" s="45" t="s">
        <v>166</v>
      </c>
      <c r="F231" s="45"/>
      <c r="G231" s="31"/>
      <c r="H231" s="69"/>
      <c r="I231" s="31"/>
    </row>
    <row r="232" spans="1:9" x14ac:dyDescent="0.25">
      <c r="A232" s="31"/>
      <c r="B232" s="25"/>
      <c r="C232" s="25"/>
      <c r="D232" s="44" t="s">
        <v>311</v>
      </c>
      <c r="E232" s="45" t="s">
        <v>166</v>
      </c>
      <c r="F232" s="45" t="s">
        <v>508</v>
      </c>
      <c r="G232" s="31"/>
      <c r="H232" s="69"/>
      <c r="I232" s="31"/>
    </row>
    <row r="233" spans="1:9" x14ac:dyDescent="0.25">
      <c r="A233" s="31"/>
      <c r="B233" s="25"/>
      <c r="C233" s="25"/>
      <c r="D233" s="44" t="s">
        <v>405</v>
      </c>
      <c r="E233" s="45" t="s">
        <v>166</v>
      </c>
      <c r="F233" s="45"/>
      <c r="G233" s="31"/>
      <c r="H233" s="69"/>
      <c r="I233" s="31"/>
    </row>
    <row r="234" spans="1:9" x14ac:dyDescent="0.25">
      <c r="A234" s="31"/>
      <c r="B234" s="25"/>
      <c r="C234" s="25"/>
      <c r="D234" s="44" t="s">
        <v>406</v>
      </c>
      <c r="E234" s="45" t="s">
        <v>166</v>
      </c>
      <c r="F234" s="45"/>
      <c r="G234" s="31"/>
      <c r="H234" s="69"/>
      <c r="I234" s="31"/>
    </row>
    <row r="235" spans="1:9" x14ac:dyDescent="0.25">
      <c r="A235" s="31"/>
      <c r="B235" s="25"/>
      <c r="C235" s="25"/>
      <c r="D235" s="44"/>
      <c r="E235" s="45"/>
      <c r="F235" s="45"/>
      <c r="G235" s="31"/>
      <c r="H235" s="69"/>
      <c r="I235" s="31"/>
    </row>
    <row r="236" spans="1:9" x14ac:dyDescent="0.25">
      <c r="A236" s="31"/>
      <c r="B236" s="25"/>
      <c r="C236" s="25"/>
      <c r="D236" s="44" t="s">
        <v>288</v>
      </c>
      <c r="E236" s="45" t="s">
        <v>166</v>
      </c>
      <c r="F236" s="45" t="s">
        <v>509</v>
      </c>
      <c r="G236" s="31"/>
      <c r="H236" s="69"/>
      <c r="I236" s="31"/>
    </row>
    <row r="237" spans="1:9" x14ac:dyDescent="0.25">
      <c r="A237" s="31"/>
      <c r="B237" s="25"/>
      <c r="C237" s="25"/>
      <c r="D237" s="44" t="s">
        <v>289</v>
      </c>
      <c r="E237" s="45" t="s">
        <v>166</v>
      </c>
      <c r="F237" s="45" t="s">
        <v>509</v>
      </c>
      <c r="G237" s="31"/>
      <c r="H237" s="69"/>
      <c r="I237" s="31"/>
    </row>
    <row r="238" spans="1:9" x14ac:dyDescent="0.25">
      <c r="A238" s="31"/>
      <c r="B238" s="25"/>
      <c r="C238" s="25"/>
      <c r="D238" s="44" t="s">
        <v>290</v>
      </c>
      <c r="E238" s="45" t="s">
        <v>166</v>
      </c>
      <c r="F238" s="45" t="s">
        <v>510</v>
      </c>
      <c r="G238" s="31"/>
      <c r="H238" s="69"/>
      <c r="I238" s="31"/>
    </row>
    <row r="239" spans="1:9" x14ac:dyDescent="0.25">
      <c r="A239" s="31"/>
      <c r="B239" s="25"/>
      <c r="C239" s="25"/>
      <c r="D239" s="44" t="s">
        <v>291</v>
      </c>
      <c r="E239" s="45" t="s">
        <v>166</v>
      </c>
      <c r="F239" s="45" t="s">
        <v>510</v>
      </c>
      <c r="G239" s="31"/>
      <c r="H239" s="69"/>
      <c r="I239" s="31"/>
    </row>
    <row r="240" spans="1:9" x14ac:dyDescent="0.25">
      <c r="A240" s="31"/>
      <c r="B240" s="25"/>
      <c r="C240" s="25"/>
      <c r="D240" s="44" t="s">
        <v>292</v>
      </c>
      <c r="E240" s="45" t="s">
        <v>166</v>
      </c>
      <c r="F240" s="45" t="s">
        <v>511</v>
      </c>
      <c r="G240" s="31"/>
      <c r="H240" s="69"/>
      <c r="I240" s="31"/>
    </row>
    <row r="241" spans="1:9" x14ac:dyDescent="0.25">
      <c r="A241" s="31"/>
      <c r="B241" s="25"/>
      <c r="C241" s="25"/>
      <c r="D241" s="44" t="s">
        <v>293</v>
      </c>
      <c r="E241" s="45" t="s">
        <v>166</v>
      </c>
      <c r="F241" s="45" t="s">
        <v>511</v>
      </c>
      <c r="G241" s="31"/>
      <c r="H241" s="69"/>
      <c r="I241" s="31"/>
    </row>
    <row r="242" spans="1:9" x14ac:dyDescent="0.25">
      <c r="A242" s="31"/>
      <c r="B242" s="25"/>
      <c r="C242" s="25"/>
      <c r="D242" s="44" t="s">
        <v>294</v>
      </c>
      <c r="E242" s="45" t="s">
        <v>166</v>
      </c>
      <c r="F242" s="45" t="s">
        <v>511</v>
      </c>
      <c r="G242" s="31"/>
      <c r="H242" s="69"/>
      <c r="I242" s="31"/>
    </row>
    <row r="243" spans="1:9" x14ac:dyDescent="0.25">
      <c r="A243" s="31"/>
      <c r="B243" s="25"/>
      <c r="C243" s="25"/>
      <c r="D243" s="44" t="s">
        <v>295</v>
      </c>
      <c r="E243" s="45" t="s">
        <v>166</v>
      </c>
      <c r="F243" s="45" t="s">
        <v>512</v>
      </c>
      <c r="G243" s="31"/>
      <c r="H243" s="69"/>
      <c r="I243" s="31"/>
    </row>
    <row r="244" spans="1:9" x14ac:dyDescent="0.25">
      <c r="A244" s="31"/>
      <c r="B244" s="25"/>
      <c r="C244" s="25"/>
      <c r="D244" s="44" t="s">
        <v>296</v>
      </c>
      <c r="E244" s="45" t="s">
        <v>166</v>
      </c>
      <c r="F244" s="45" t="s">
        <v>512</v>
      </c>
      <c r="G244" s="31"/>
      <c r="H244" s="69"/>
      <c r="I244" s="31"/>
    </row>
    <row r="245" spans="1:9" x14ac:dyDescent="0.25">
      <c r="A245" s="66"/>
      <c r="B245" s="70"/>
      <c r="C245" s="70"/>
      <c r="D245" s="72"/>
      <c r="E245" s="73"/>
      <c r="F245" s="93"/>
      <c r="G245" s="66"/>
      <c r="H245" s="94"/>
      <c r="I245" s="66"/>
    </row>
    <row r="246" spans="1:9" x14ac:dyDescent="0.25">
      <c r="A246" s="59"/>
      <c r="B246" s="61"/>
      <c r="C246" s="60"/>
      <c r="D246" s="60"/>
      <c r="E246" s="63"/>
      <c r="F246" s="64"/>
      <c r="G246" s="59"/>
      <c r="H246" s="65"/>
      <c r="I246" s="59"/>
    </row>
    <row r="247" spans="1:9" x14ac:dyDescent="0.25">
      <c r="A247" s="31">
        <v>46</v>
      </c>
      <c r="B247" s="25" t="s">
        <v>272</v>
      </c>
      <c r="C247" s="25" t="s">
        <v>37</v>
      </c>
      <c r="D247" s="44" t="s">
        <v>273</v>
      </c>
      <c r="E247" s="45" t="s">
        <v>62</v>
      </c>
      <c r="F247" s="45" t="s">
        <v>278</v>
      </c>
      <c r="G247" s="31">
        <v>1.5129999999999999</v>
      </c>
      <c r="H247" s="69" t="s">
        <v>35</v>
      </c>
      <c r="I247" s="46" t="s">
        <v>243</v>
      </c>
    </row>
    <row r="248" spans="1:9" x14ac:dyDescent="0.25">
      <c r="A248" s="31"/>
      <c r="B248" s="25"/>
      <c r="C248" s="25"/>
      <c r="D248" s="44" t="s">
        <v>412</v>
      </c>
      <c r="E248" s="45" t="s">
        <v>62</v>
      </c>
      <c r="F248" s="45" t="s">
        <v>425</v>
      </c>
      <c r="G248" s="31"/>
      <c r="H248" s="69" t="s">
        <v>35</v>
      </c>
      <c r="I248" s="46"/>
    </row>
    <row r="249" spans="1:9" x14ac:dyDescent="0.25">
      <c r="A249" s="66"/>
      <c r="B249" s="70"/>
      <c r="C249" s="70"/>
      <c r="D249" s="72" t="s">
        <v>451</v>
      </c>
      <c r="E249" s="45" t="s">
        <v>62</v>
      </c>
      <c r="F249" s="45" t="s">
        <v>468</v>
      </c>
      <c r="G249" s="66"/>
      <c r="H249" s="69" t="s">
        <v>35</v>
      </c>
      <c r="I249" s="74"/>
    </row>
    <row r="250" spans="1:9" x14ac:dyDescent="0.25">
      <c r="A250" s="59"/>
      <c r="B250" s="61"/>
      <c r="C250" s="60"/>
      <c r="D250" s="60"/>
      <c r="E250" s="63"/>
      <c r="F250" s="64"/>
      <c r="G250" s="59"/>
      <c r="H250" s="65"/>
      <c r="I250" s="59"/>
    </row>
    <row r="251" spans="1:9" x14ac:dyDescent="0.25">
      <c r="A251" s="31">
        <v>47</v>
      </c>
      <c r="B251" s="25" t="s">
        <v>276</v>
      </c>
      <c r="C251" s="25" t="s">
        <v>275</v>
      </c>
      <c r="D251" s="44" t="s">
        <v>53</v>
      </c>
      <c r="E251" s="45" t="s">
        <v>62</v>
      </c>
      <c r="F251" s="45">
        <v>46148</v>
      </c>
      <c r="G251" s="31"/>
      <c r="H251" s="69" t="s">
        <v>388</v>
      </c>
      <c r="I251" s="31"/>
    </row>
    <row r="252" spans="1:9" x14ac:dyDescent="0.25">
      <c r="A252" s="31"/>
      <c r="B252" s="25"/>
      <c r="C252" s="25"/>
      <c r="D252" s="44" t="s">
        <v>265</v>
      </c>
      <c r="E252" s="45" t="s">
        <v>62</v>
      </c>
      <c r="F252" s="45">
        <v>46180</v>
      </c>
      <c r="G252" s="46"/>
      <c r="H252" s="67" t="s">
        <v>33</v>
      </c>
      <c r="I252" s="31"/>
    </row>
    <row r="253" spans="1:9" x14ac:dyDescent="0.25">
      <c r="A253" s="59"/>
      <c r="B253" s="61"/>
      <c r="C253" s="60"/>
      <c r="D253" s="60"/>
      <c r="E253" s="63"/>
      <c r="F253" s="64"/>
      <c r="G253" s="59"/>
      <c r="H253" s="65"/>
      <c r="I253" s="59"/>
    </row>
    <row r="254" spans="1:9" x14ac:dyDescent="0.25">
      <c r="A254" s="31">
        <v>48</v>
      </c>
      <c r="B254" s="25" t="s">
        <v>274</v>
      </c>
      <c r="C254" s="25" t="s">
        <v>275</v>
      </c>
      <c r="D254" s="44" t="s">
        <v>280</v>
      </c>
      <c r="E254" s="45" t="s">
        <v>62</v>
      </c>
      <c r="F254" s="45" t="s">
        <v>271</v>
      </c>
      <c r="G254" s="31">
        <v>0.72499999999999998</v>
      </c>
      <c r="H254" s="69" t="s">
        <v>50</v>
      </c>
      <c r="I254" s="46" t="s">
        <v>283</v>
      </c>
    </row>
    <row r="255" spans="1:9" x14ac:dyDescent="0.25">
      <c r="A255" s="31"/>
      <c r="B255" s="25"/>
      <c r="C255" s="25"/>
      <c r="D255" s="44" t="s">
        <v>265</v>
      </c>
      <c r="E255" s="45" t="s">
        <v>62</v>
      </c>
      <c r="F255" s="45" t="s">
        <v>338</v>
      </c>
      <c r="G255" s="46"/>
      <c r="H255" s="69" t="s">
        <v>50</v>
      </c>
      <c r="I255" s="31"/>
    </row>
    <row r="256" spans="1:9" x14ac:dyDescent="0.25">
      <c r="A256" s="59"/>
      <c r="B256" s="61"/>
      <c r="C256" s="60"/>
      <c r="D256" s="60"/>
      <c r="E256" s="63"/>
      <c r="F256" s="64"/>
      <c r="G256" s="59"/>
      <c r="H256" s="65"/>
      <c r="I256" s="59"/>
    </row>
    <row r="257" spans="1:9" x14ac:dyDescent="0.25">
      <c r="A257" s="31">
        <v>49</v>
      </c>
      <c r="B257" s="44" t="s">
        <v>277</v>
      </c>
      <c r="C257" s="25"/>
      <c r="D257" s="44" t="s">
        <v>371</v>
      </c>
      <c r="E257" s="45" t="s">
        <v>62</v>
      </c>
      <c r="F257" s="45" t="s">
        <v>479</v>
      </c>
      <c r="G257" s="46"/>
      <c r="H257" s="47" t="s">
        <v>471</v>
      </c>
      <c r="I257" s="46"/>
    </row>
    <row r="258" spans="1:9" x14ac:dyDescent="0.25">
      <c r="A258" s="31"/>
      <c r="B258" s="25"/>
      <c r="C258" s="25"/>
      <c r="D258" s="44" t="s">
        <v>372</v>
      </c>
      <c r="E258" s="45" t="s">
        <v>62</v>
      </c>
      <c r="F258" s="45" t="s">
        <v>479</v>
      </c>
      <c r="G258" s="46"/>
      <c r="H258" s="47" t="s">
        <v>471</v>
      </c>
      <c r="I258" s="46"/>
    </row>
    <row r="259" spans="1:9" x14ac:dyDescent="0.25">
      <c r="A259" s="31"/>
      <c r="B259" s="25"/>
      <c r="C259" s="25"/>
      <c r="D259" s="44" t="s">
        <v>373</v>
      </c>
      <c r="E259" s="45" t="s">
        <v>62</v>
      </c>
      <c r="F259" s="45" t="s">
        <v>479</v>
      </c>
      <c r="G259" s="46"/>
      <c r="H259" s="47" t="s">
        <v>471</v>
      </c>
      <c r="I259" s="31"/>
    </row>
    <row r="260" spans="1:9" x14ac:dyDescent="0.25">
      <c r="A260" s="31"/>
      <c r="B260" s="25"/>
      <c r="C260" s="25"/>
      <c r="D260" s="44" t="s">
        <v>374</v>
      </c>
      <c r="E260" s="45" t="s">
        <v>62</v>
      </c>
      <c r="F260" s="45" t="s">
        <v>479</v>
      </c>
      <c r="G260" s="46"/>
      <c r="H260" s="47" t="s">
        <v>471</v>
      </c>
      <c r="I260" s="31"/>
    </row>
    <row r="261" spans="1:9" x14ac:dyDescent="0.25">
      <c r="A261" s="31"/>
      <c r="B261" s="25"/>
      <c r="C261" s="25"/>
      <c r="D261" s="44" t="s">
        <v>148</v>
      </c>
      <c r="E261" s="45" t="s">
        <v>62</v>
      </c>
      <c r="F261" s="45" t="s">
        <v>479</v>
      </c>
      <c r="G261" s="46"/>
      <c r="H261" s="47" t="s">
        <v>471</v>
      </c>
      <c r="I261" s="31"/>
    </row>
    <row r="262" spans="1:9" x14ac:dyDescent="0.25">
      <c r="A262" s="59"/>
      <c r="B262" s="61"/>
      <c r="C262" s="60"/>
      <c r="D262" s="60"/>
      <c r="E262" s="63"/>
      <c r="F262" s="64"/>
      <c r="G262" s="59"/>
      <c r="H262" s="65"/>
      <c r="I262" s="59"/>
    </row>
    <row r="263" spans="1:9" x14ac:dyDescent="0.25">
      <c r="A263" s="31">
        <v>50</v>
      </c>
      <c r="B263" s="25" t="s">
        <v>312</v>
      </c>
      <c r="C263" s="25" t="s">
        <v>275</v>
      </c>
      <c r="D263" s="44" t="s">
        <v>313</v>
      </c>
      <c r="E263" s="45"/>
      <c r="F263" s="45"/>
      <c r="G263" s="46"/>
      <c r="H263" s="67"/>
      <c r="I263" s="31"/>
    </row>
    <row r="264" spans="1:9" x14ac:dyDescent="0.25">
      <c r="A264" s="31"/>
      <c r="B264" s="25"/>
      <c r="C264" s="25"/>
      <c r="D264" s="44" t="s">
        <v>90</v>
      </c>
      <c r="E264" s="45" t="s">
        <v>62</v>
      </c>
      <c r="F264" s="45">
        <v>46362</v>
      </c>
      <c r="G264" s="46"/>
      <c r="H264" s="67" t="s">
        <v>388</v>
      </c>
      <c r="I264" s="31"/>
    </row>
    <row r="265" spans="1:9" x14ac:dyDescent="0.25">
      <c r="A265" s="31"/>
      <c r="B265" s="25"/>
      <c r="C265" s="25"/>
      <c r="D265" s="44" t="s">
        <v>265</v>
      </c>
      <c r="E265" s="45" t="s">
        <v>62</v>
      </c>
      <c r="F265" s="45" t="s">
        <v>387</v>
      </c>
      <c r="G265" s="46"/>
      <c r="H265" s="67" t="s">
        <v>16</v>
      </c>
      <c r="I265" s="31"/>
    </row>
    <row r="266" spans="1:9" x14ac:dyDescent="0.25">
      <c r="A266" s="31"/>
      <c r="B266" s="25"/>
      <c r="C266" s="25"/>
      <c r="D266" s="44" t="s">
        <v>416</v>
      </c>
      <c r="E266" s="45" t="s">
        <v>62</v>
      </c>
      <c r="F266" s="45">
        <v>46088</v>
      </c>
      <c r="G266" s="46"/>
      <c r="H266" s="67" t="s">
        <v>432</v>
      </c>
      <c r="I266" s="31"/>
    </row>
    <row r="267" spans="1:9" x14ac:dyDescent="0.25">
      <c r="A267" s="31"/>
      <c r="B267" s="25"/>
      <c r="C267" s="25"/>
      <c r="D267" s="44" t="s">
        <v>266</v>
      </c>
      <c r="E267" s="45" t="s">
        <v>62</v>
      </c>
      <c r="F267" s="45">
        <v>46088</v>
      </c>
      <c r="G267" s="46"/>
      <c r="H267" s="67" t="s">
        <v>250</v>
      </c>
      <c r="I267" s="31"/>
    </row>
    <row r="268" spans="1:9" x14ac:dyDescent="0.25">
      <c r="A268" s="31"/>
      <c r="B268" s="25"/>
      <c r="C268" s="25"/>
      <c r="D268" s="44" t="s">
        <v>436</v>
      </c>
      <c r="E268" s="45" t="s">
        <v>62</v>
      </c>
      <c r="F268" s="45">
        <v>46088</v>
      </c>
      <c r="G268" s="46"/>
      <c r="H268" s="67" t="s">
        <v>433</v>
      </c>
      <c r="I268" s="31"/>
    </row>
    <row r="269" spans="1:9" x14ac:dyDescent="0.25">
      <c r="A269" s="31"/>
      <c r="B269" s="25"/>
      <c r="C269" s="25"/>
      <c r="D269" s="44" t="s">
        <v>437</v>
      </c>
      <c r="E269" s="45" t="s">
        <v>62</v>
      </c>
      <c r="F269" s="45">
        <v>46088</v>
      </c>
      <c r="G269" s="46"/>
      <c r="H269" s="67"/>
      <c r="I269" s="31"/>
    </row>
    <row r="270" spans="1:9" x14ac:dyDescent="0.25">
      <c r="A270" s="31"/>
      <c r="B270" s="25"/>
      <c r="C270" s="25"/>
      <c r="D270" s="44" t="s">
        <v>438</v>
      </c>
      <c r="E270" s="45" t="s">
        <v>62</v>
      </c>
      <c r="F270" s="45">
        <v>46088</v>
      </c>
      <c r="G270" s="46"/>
      <c r="H270" s="67"/>
      <c r="I270" s="31"/>
    </row>
    <row r="271" spans="1:9" x14ac:dyDescent="0.25">
      <c r="A271" s="31"/>
      <c r="B271" s="25"/>
      <c r="C271" s="25"/>
      <c r="D271" s="44" t="s">
        <v>439</v>
      </c>
      <c r="E271" s="45" t="s">
        <v>62</v>
      </c>
      <c r="F271" s="45">
        <v>46088</v>
      </c>
      <c r="G271" s="46"/>
      <c r="H271" s="67"/>
      <c r="I271" s="31"/>
    </row>
    <row r="272" spans="1:9" x14ac:dyDescent="0.25">
      <c r="A272" s="31"/>
      <c r="B272" s="25"/>
      <c r="C272" s="25"/>
      <c r="D272" s="44" t="s">
        <v>440</v>
      </c>
      <c r="E272" s="45" t="s">
        <v>62</v>
      </c>
      <c r="F272" s="45">
        <v>46088</v>
      </c>
      <c r="G272" s="46"/>
      <c r="H272" s="67"/>
      <c r="I272" s="31"/>
    </row>
    <row r="273" spans="1:9" x14ac:dyDescent="0.25">
      <c r="A273" s="31"/>
      <c r="B273" s="25"/>
      <c r="C273" s="25"/>
      <c r="D273" s="44"/>
      <c r="E273" s="45"/>
      <c r="F273" s="45"/>
      <c r="G273" s="46"/>
      <c r="H273" s="67"/>
      <c r="I273" s="31"/>
    </row>
    <row r="274" spans="1:9" x14ac:dyDescent="0.25">
      <c r="A274" s="31"/>
      <c r="B274" s="25"/>
      <c r="C274" s="25"/>
      <c r="D274" s="44"/>
      <c r="E274" s="58"/>
      <c r="F274" s="45"/>
      <c r="G274" s="46"/>
      <c r="H274" s="67"/>
      <c r="I274" s="31"/>
    </row>
    <row r="275" spans="1:9" x14ac:dyDescent="0.25">
      <c r="A275" s="31"/>
      <c r="B275" s="25"/>
      <c r="C275" s="25"/>
      <c r="D275" s="99" t="s">
        <v>314</v>
      </c>
      <c r="E275" s="58"/>
      <c r="F275" s="45"/>
      <c r="G275" s="46"/>
      <c r="H275" s="67"/>
      <c r="I275" s="31"/>
    </row>
    <row r="276" spans="1:9" x14ac:dyDescent="0.25">
      <c r="A276" s="31"/>
      <c r="B276" s="25"/>
      <c r="C276" s="25"/>
      <c r="D276" s="44" t="s">
        <v>90</v>
      </c>
      <c r="E276" s="45" t="s">
        <v>62</v>
      </c>
      <c r="F276" s="45">
        <v>46088</v>
      </c>
      <c r="G276" s="46"/>
      <c r="H276" s="67" t="s">
        <v>50</v>
      </c>
      <c r="I276" s="31"/>
    </row>
    <row r="277" spans="1:9" x14ac:dyDescent="0.25">
      <c r="A277" s="31"/>
      <c r="B277" s="25"/>
      <c r="C277" s="25"/>
      <c r="D277" s="44" t="s">
        <v>265</v>
      </c>
      <c r="E277" s="45" t="s">
        <v>62</v>
      </c>
      <c r="F277" s="45" t="s">
        <v>390</v>
      </c>
      <c r="G277" s="46"/>
      <c r="H277" s="67" t="s">
        <v>388</v>
      </c>
      <c r="I277" s="31"/>
    </row>
    <row r="278" spans="1:9" x14ac:dyDescent="0.25">
      <c r="A278" s="31"/>
      <c r="B278" s="25"/>
      <c r="C278" s="25"/>
      <c r="D278" s="44" t="s">
        <v>416</v>
      </c>
      <c r="E278" s="45" t="s">
        <v>62</v>
      </c>
      <c r="F278" s="45">
        <v>46302</v>
      </c>
      <c r="G278" s="46"/>
      <c r="H278" s="67" t="s">
        <v>50</v>
      </c>
      <c r="I278" s="31"/>
    </row>
    <row r="279" spans="1:9" x14ac:dyDescent="0.25">
      <c r="A279" s="31"/>
      <c r="B279" s="25"/>
      <c r="C279" s="25"/>
      <c r="D279" s="44" t="s">
        <v>266</v>
      </c>
      <c r="E279" s="45" t="s">
        <v>62</v>
      </c>
      <c r="F279" s="45">
        <v>46302</v>
      </c>
      <c r="G279" s="46"/>
      <c r="H279" s="67" t="s">
        <v>50</v>
      </c>
      <c r="I279" s="31"/>
    </row>
    <row r="280" spans="1:9" x14ac:dyDescent="0.25">
      <c r="A280" s="31"/>
      <c r="B280" s="25"/>
      <c r="C280" s="25"/>
      <c r="D280" s="44" t="s">
        <v>436</v>
      </c>
      <c r="E280" s="45" t="s">
        <v>62</v>
      </c>
      <c r="F280" s="45">
        <v>46302</v>
      </c>
      <c r="G280" s="46"/>
      <c r="H280" s="67" t="s">
        <v>50</v>
      </c>
      <c r="I280" s="31"/>
    </row>
    <row r="281" spans="1:9" x14ac:dyDescent="0.25">
      <c r="A281" s="31"/>
      <c r="B281" s="25"/>
      <c r="C281" s="25"/>
      <c r="D281" s="44" t="s">
        <v>437</v>
      </c>
      <c r="E281" s="45" t="s">
        <v>62</v>
      </c>
      <c r="F281" s="45">
        <v>46302</v>
      </c>
      <c r="G281" s="46"/>
      <c r="H281" s="67"/>
      <c r="I281" s="31"/>
    </row>
    <row r="282" spans="1:9" x14ac:dyDescent="0.25">
      <c r="A282" s="31"/>
      <c r="B282" s="25"/>
      <c r="C282" s="25"/>
      <c r="D282" s="44" t="s">
        <v>438</v>
      </c>
      <c r="E282" s="45" t="s">
        <v>62</v>
      </c>
      <c r="F282" s="45">
        <v>46302</v>
      </c>
      <c r="G282" s="46"/>
      <c r="H282" s="67"/>
      <c r="I282" s="31"/>
    </row>
    <row r="283" spans="1:9" x14ac:dyDescent="0.25">
      <c r="A283" s="31"/>
      <c r="B283" s="25"/>
      <c r="C283" s="25"/>
      <c r="D283" s="44" t="s">
        <v>439</v>
      </c>
      <c r="E283" s="45" t="s">
        <v>62</v>
      </c>
      <c r="F283" s="45">
        <v>46302</v>
      </c>
      <c r="G283" s="46"/>
      <c r="H283" s="67"/>
      <c r="I283" s="31"/>
    </row>
    <row r="284" spans="1:9" x14ac:dyDescent="0.25">
      <c r="A284" s="31"/>
      <c r="B284" s="25"/>
      <c r="C284" s="25"/>
      <c r="D284" s="44" t="s">
        <v>440</v>
      </c>
      <c r="E284" s="45" t="s">
        <v>62</v>
      </c>
      <c r="F284" s="45"/>
      <c r="G284" s="46"/>
      <c r="H284" s="67"/>
      <c r="I284" s="31"/>
    </row>
    <row r="285" spans="1:9" x14ac:dyDescent="0.25">
      <c r="A285" s="31"/>
      <c r="B285" s="25"/>
      <c r="C285" s="25"/>
      <c r="D285" s="44"/>
      <c r="E285" s="45"/>
      <c r="F285" s="45"/>
      <c r="G285" s="46"/>
      <c r="H285" s="67"/>
      <c r="I285" s="31"/>
    </row>
    <row r="286" spans="1:9" x14ac:dyDescent="0.25">
      <c r="A286" s="31"/>
      <c r="B286" s="25"/>
      <c r="C286" s="25"/>
      <c r="D286" s="99" t="s">
        <v>315</v>
      </c>
      <c r="E286" s="58"/>
      <c r="F286" s="45"/>
      <c r="G286" s="46"/>
      <c r="H286" s="67"/>
      <c r="I286" s="31"/>
    </row>
    <row r="287" spans="1:9" x14ac:dyDescent="0.25">
      <c r="A287" s="31"/>
      <c r="B287" s="25"/>
      <c r="C287" s="25"/>
      <c r="D287" s="44" t="s">
        <v>90</v>
      </c>
      <c r="E287" s="45" t="s">
        <v>62</v>
      </c>
      <c r="F287" s="45">
        <v>46302</v>
      </c>
      <c r="G287" s="46"/>
      <c r="H287" s="67" t="s">
        <v>50</v>
      </c>
      <c r="I287" s="31"/>
    </row>
    <row r="288" spans="1:9" x14ac:dyDescent="0.25">
      <c r="A288" s="31"/>
      <c r="B288" s="25"/>
      <c r="C288" s="25"/>
      <c r="D288" s="44" t="s">
        <v>265</v>
      </c>
      <c r="E288" s="45" t="s">
        <v>62</v>
      </c>
      <c r="F288" s="45">
        <v>46302</v>
      </c>
      <c r="G288" s="46"/>
      <c r="H288" s="67" t="s">
        <v>388</v>
      </c>
      <c r="I288" s="31"/>
    </row>
    <row r="289" spans="1:9" x14ac:dyDescent="0.25">
      <c r="A289" s="31"/>
      <c r="B289" s="25"/>
      <c r="C289" s="25"/>
      <c r="D289" s="44" t="s">
        <v>416</v>
      </c>
      <c r="E289" s="45" t="s">
        <v>62</v>
      </c>
      <c r="F289" s="45">
        <v>46302</v>
      </c>
      <c r="G289" s="46"/>
      <c r="H289" s="67" t="s">
        <v>391</v>
      </c>
      <c r="I289" s="31"/>
    </row>
    <row r="290" spans="1:9" x14ac:dyDescent="0.25">
      <c r="A290" s="31"/>
      <c r="B290" s="25"/>
      <c r="C290" s="25"/>
      <c r="D290" s="44" t="s">
        <v>266</v>
      </c>
      <c r="E290" s="45" t="s">
        <v>62</v>
      </c>
      <c r="F290" s="45">
        <v>46302</v>
      </c>
      <c r="G290" s="46"/>
      <c r="H290" s="67" t="s">
        <v>391</v>
      </c>
      <c r="I290" s="31"/>
    </row>
    <row r="291" spans="1:9" x14ac:dyDescent="0.25">
      <c r="A291" s="31"/>
      <c r="B291" s="25"/>
      <c r="C291" s="25"/>
      <c r="D291" s="44" t="s">
        <v>436</v>
      </c>
      <c r="E291" s="45" t="s">
        <v>62</v>
      </c>
      <c r="F291" s="45">
        <v>46302</v>
      </c>
      <c r="G291" s="46"/>
      <c r="H291" s="67"/>
      <c r="I291" s="31"/>
    </row>
    <row r="292" spans="1:9" x14ac:dyDescent="0.25">
      <c r="A292" s="31"/>
      <c r="B292" s="25"/>
      <c r="C292" s="25"/>
      <c r="D292" s="44" t="s">
        <v>437</v>
      </c>
      <c r="E292" s="45" t="s">
        <v>62</v>
      </c>
      <c r="F292" s="45">
        <v>46302</v>
      </c>
      <c r="G292" s="46"/>
      <c r="H292" s="67"/>
      <c r="I292" s="31"/>
    </row>
    <row r="293" spans="1:9" x14ac:dyDescent="0.25">
      <c r="A293" s="31"/>
      <c r="B293" s="25"/>
      <c r="C293" s="25"/>
      <c r="D293" s="44" t="s">
        <v>438</v>
      </c>
      <c r="E293" s="45" t="s">
        <v>62</v>
      </c>
      <c r="F293" s="45">
        <v>46302</v>
      </c>
      <c r="G293" s="46"/>
      <c r="H293" s="67"/>
      <c r="I293" s="31"/>
    </row>
    <row r="294" spans="1:9" x14ac:dyDescent="0.25">
      <c r="A294" s="31"/>
      <c r="B294" s="25"/>
      <c r="C294" s="25"/>
      <c r="D294" s="44" t="s">
        <v>439</v>
      </c>
      <c r="E294" s="45" t="s">
        <v>62</v>
      </c>
      <c r="F294" s="45">
        <v>46302</v>
      </c>
      <c r="G294" s="46"/>
      <c r="H294" s="67"/>
      <c r="I294" s="31"/>
    </row>
    <row r="295" spans="1:9" x14ac:dyDescent="0.25">
      <c r="A295" s="31"/>
      <c r="B295" s="25"/>
      <c r="C295" s="25"/>
      <c r="D295" s="44" t="s">
        <v>440</v>
      </c>
      <c r="E295" s="45" t="s">
        <v>62</v>
      </c>
      <c r="F295" s="45">
        <v>46302</v>
      </c>
      <c r="G295" s="46"/>
      <c r="H295" s="67"/>
      <c r="I295" s="31"/>
    </row>
    <row r="296" spans="1:9" x14ac:dyDescent="0.25">
      <c r="A296" s="31"/>
      <c r="B296" s="25"/>
      <c r="C296" s="25"/>
      <c r="D296" s="44"/>
      <c r="E296" s="45"/>
      <c r="F296" s="45"/>
      <c r="G296" s="46"/>
      <c r="H296" s="67"/>
      <c r="I296" s="31"/>
    </row>
    <row r="297" spans="1:9" x14ac:dyDescent="0.25">
      <c r="A297" s="31"/>
      <c r="B297" s="25"/>
      <c r="C297" s="25"/>
      <c r="D297" s="44"/>
      <c r="E297" s="58"/>
      <c r="F297" s="45"/>
      <c r="G297" s="46"/>
      <c r="H297" s="67"/>
      <c r="I297" s="31"/>
    </row>
    <row r="298" spans="1:9" x14ac:dyDescent="0.25">
      <c r="A298" s="31"/>
      <c r="B298" s="25"/>
      <c r="C298" s="25"/>
      <c r="D298" s="44" t="s">
        <v>316</v>
      </c>
      <c r="E298" s="58"/>
      <c r="F298" s="45"/>
      <c r="G298" s="46"/>
      <c r="H298" s="67"/>
      <c r="I298" s="31"/>
    </row>
    <row r="299" spans="1:9" x14ac:dyDescent="0.25">
      <c r="A299" s="31"/>
      <c r="B299" s="25"/>
      <c r="C299" s="25"/>
      <c r="D299" s="44" t="s">
        <v>317</v>
      </c>
      <c r="E299" s="45" t="s">
        <v>166</v>
      </c>
      <c r="F299" s="45"/>
      <c r="G299" s="46"/>
      <c r="H299" s="45" t="s">
        <v>35</v>
      </c>
      <c r="I299" s="31"/>
    </row>
    <row r="300" spans="1:9" x14ac:dyDescent="0.25">
      <c r="A300" s="31"/>
      <c r="B300" s="25"/>
      <c r="C300" s="25"/>
      <c r="D300" s="44"/>
      <c r="E300" s="58"/>
      <c r="F300" s="45"/>
      <c r="G300" s="46"/>
      <c r="H300" s="67"/>
      <c r="I300" s="31"/>
    </row>
    <row r="301" spans="1:9" x14ac:dyDescent="0.25">
      <c r="A301" s="31"/>
      <c r="B301" s="25"/>
      <c r="C301" s="25"/>
      <c r="D301" s="44" t="s">
        <v>318</v>
      </c>
      <c r="E301" s="58"/>
      <c r="F301" s="45"/>
      <c r="G301" s="46"/>
      <c r="H301" s="67"/>
      <c r="I301" s="31"/>
    </row>
    <row r="302" spans="1:9" x14ac:dyDescent="0.25">
      <c r="A302" s="31"/>
      <c r="B302" s="25"/>
      <c r="C302" s="25"/>
      <c r="D302" s="44" t="s">
        <v>319</v>
      </c>
      <c r="E302" s="76" t="s">
        <v>62</v>
      </c>
      <c r="F302" s="45">
        <v>46148</v>
      </c>
      <c r="G302" s="46"/>
      <c r="H302" s="67" t="s">
        <v>388</v>
      </c>
      <c r="I302" s="31"/>
    </row>
    <row r="303" spans="1:9" x14ac:dyDescent="0.25">
      <c r="A303" s="31"/>
      <c r="B303" s="25"/>
      <c r="C303" s="25"/>
      <c r="D303" s="44"/>
      <c r="E303" s="58"/>
      <c r="F303" s="45"/>
      <c r="G303" s="46"/>
      <c r="H303" s="67"/>
      <c r="I303" s="31"/>
    </row>
    <row r="304" spans="1:9" x14ac:dyDescent="0.25">
      <c r="A304" s="31"/>
      <c r="B304" s="25"/>
      <c r="C304" s="25"/>
      <c r="D304" s="44" t="s">
        <v>320</v>
      </c>
      <c r="E304" s="58"/>
      <c r="F304" s="45"/>
      <c r="G304" s="46"/>
      <c r="H304" s="67"/>
      <c r="I304" s="31"/>
    </row>
    <row r="305" spans="1:9" x14ac:dyDescent="0.25">
      <c r="A305" s="31"/>
      <c r="B305" s="25"/>
      <c r="C305" s="25"/>
      <c r="D305" s="44" t="s">
        <v>319</v>
      </c>
      <c r="E305" s="45" t="s">
        <v>62</v>
      </c>
      <c r="F305" s="45" t="s">
        <v>456</v>
      </c>
      <c r="G305" s="46"/>
      <c r="H305" s="45" t="s">
        <v>413</v>
      </c>
      <c r="I305" s="31"/>
    </row>
    <row r="306" spans="1:9" x14ac:dyDescent="0.25">
      <c r="A306" s="31"/>
      <c r="B306" s="25"/>
      <c r="C306" s="25"/>
      <c r="D306" s="44"/>
      <c r="E306" s="58"/>
      <c r="F306" s="45"/>
      <c r="G306" s="46"/>
      <c r="H306" s="67"/>
      <c r="I306" s="31"/>
    </row>
    <row r="307" spans="1:9" x14ac:dyDescent="0.25">
      <c r="A307" s="31"/>
      <c r="B307" s="25"/>
      <c r="C307" s="25"/>
      <c r="D307" s="44" t="s">
        <v>321</v>
      </c>
      <c r="E307" s="58"/>
      <c r="F307" s="45"/>
      <c r="G307" s="46"/>
      <c r="H307" s="67"/>
      <c r="I307" s="31"/>
    </row>
    <row r="308" spans="1:9" x14ac:dyDescent="0.25">
      <c r="A308" s="31"/>
      <c r="B308" s="25"/>
      <c r="C308" s="25"/>
      <c r="D308" s="44" t="s">
        <v>319</v>
      </c>
      <c r="E308" s="45" t="s">
        <v>62</v>
      </c>
      <c r="F308" s="45">
        <v>46181</v>
      </c>
      <c r="G308" s="31">
        <v>5.7839999999999998</v>
      </c>
      <c r="H308" s="45" t="s">
        <v>413</v>
      </c>
      <c r="I308" s="31"/>
    </row>
    <row r="309" spans="1:9" x14ac:dyDescent="0.25">
      <c r="A309" s="31"/>
      <c r="B309" s="25"/>
      <c r="C309" s="25"/>
      <c r="D309" s="44"/>
      <c r="E309" s="58"/>
      <c r="F309" s="45"/>
      <c r="G309" s="46"/>
      <c r="H309" s="67"/>
      <c r="I309" s="31"/>
    </row>
    <row r="310" spans="1:9" x14ac:dyDescent="0.25">
      <c r="A310" s="31"/>
      <c r="B310" s="25"/>
      <c r="C310" s="25"/>
      <c r="D310" s="44" t="s">
        <v>322</v>
      </c>
      <c r="E310" s="58"/>
      <c r="F310" s="45"/>
      <c r="G310" s="46"/>
      <c r="H310" s="67"/>
      <c r="I310" s="31"/>
    </row>
    <row r="311" spans="1:9" x14ac:dyDescent="0.25">
      <c r="A311" s="31"/>
      <c r="B311" s="25"/>
      <c r="C311" s="25"/>
      <c r="D311" s="44" t="s">
        <v>53</v>
      </c>
      <c r="E311" s="45" t="s">
        <v>166</v>
      </c>
      <c r="F311" s="45"/>
      <c r="G311" s="46"/>
      <c r="H311" s="45" t="s">
        <v>35</v>
      </c>
      <c r="I311" s="31"/>
    </row>
    <row r="312" spans="1:9" x14ac:dyDescent="0.25">
      <c r="A312" s="31"/>
      <c r="B312" s="25"/>
      <c r="C312" s="25"/>
      <c r="D312" s="44"/>
      <c r="E312" s="58"/>
      <c r="F312" s="45"/>
      <c r="G312" s="46"/>
      <c r="H312" s="67"/>
      <c r="I312" s="31"/>
    </row>
    <row r="313" spans="1:9" x14ac:dyDescent="0.25">
      <c r="A313" s="31"/>
      <c r="B313" s="25"/>
      <c r="C313" s="25"/>
      <c r="D313" s="44" t="s">
        <v>323</v>
      </c>
      <c r="E313" s="58"/>
      <c r="F313" s="45"/>
      <c r="G313" s="46"/>
      <c r="H313" s="67"/>
      <c r="I313" s="31"/>
    </row>
    <row r="314" spans="1:9" x14ac:dyDescent="0.25">
      <c r="A314" s="31"/>
      <c r="B314" s="25"/>
      <c r="C314" s="25"/>
      <c r="D314" s="44" t="s">
        <v>317</v>
      </c>
      <c r="E314" s="45" t="s">
        <v>62</v>
      </c>
      <c r="F314" s="45" t="s">
        <v>456</v>
      </c>
      <c r="G314" s="31">
        <v>3.3279999999999998</v>
      </c>
      <c r="H314" s="45" t="s">
        <v>413</v>
      </c>
      <c r="I314" s="45"/>
    </row>
    <row r="315" spans="1:9" x14ac:dyDescent="0.25">
      <c r="A315" s="31"/>
      <c r="B315" s="25"/>
      <c r="C315" s="25"/>
      <c r="D315" s="44"/>
      <c r="E315" s="75"/>
      <c r="F315" s="45"/>
      <c r="G315" s="74"/>
      <c r="H315" s="45"/>
      <c r="I315" s="45"/>
    </row>
    <row r="316" spans="1:9" x14ac:dyDescent="0.25">
      <c r="A316" s="31"/>
      <c r="B316" s="25"/>
      <c r="C316" s="25"/>
      <c r="D316" s="44" t="s">
        <v>324</v>
      </c>
      <c r="E316" s="45"/>
      <c r="F316" s="45"/>
      <c r="G316" s="31"/>
      <c r="H316" s="45"/>
      <c r="I316" s="45"/>
    </row>
    <row r="317" spans="1:9" x14ac:dyDescent="0.25">
      <c r="A317" s="31"/>
      <c r="B317" s="25"/>
      <c r="C317" s="25"/>
      <c r="D317" s="44" t="s">
        <v>325</v>
      </c>
      <c r="E317" s="45" t="s">
        <v>62</v>
      </c>
      <c r="F317" s="45">
        <v>46181</v>
      </c>
      <c r="G317" s="31">
        <v>1.43</v>
      </c>
      <c r="H317" s="45" t="s">
        <v>413</v>
      </c>
      <c r="I317" s="45"/>
    </row>
    <row r="318" spans="1:9" x14ac:dyDescent="0.25">
      <c r="A318" s="31"/>
      <c r="B318" s="25"/>
      <c r="C318" s="25"/>
      <c r="D318" s="44"/>
      <c r="E318" s="75"/>
      <c r="F318" s="45"/>
      <c r="G318" s="74"/>
      <c r="H318" s="45"/>
      <c r="I318" s="45"/>
    </row>
    <row r="319" spans="1:9" x14ac:dyDescent="0.25">
      <c r="A319" s="31"/>
      <c r="B319" s="25"/>
      <c r="C319" s="25"/>
      <c r="D319" s="44" t="s">
        <v>326</v>
      </c>
      <c r="E319" s="75"/>
      <c r="F319" s="45"/>
      <c r="G319" s="74"/>
      <c r="H319" s="45"/>
      <c r="I319" s="45"/>
    </row>
    <row r="320" spans="1:9" x14ac:dyDescent="0.25">
      <c r="A320" s="31"/>
      <c r="B320" s="25"/>
      <c r="C320" s="25"/>
      <c r="D320" s="44" t="s">
        <v>317</v>
      </c>
      <c r="E320" s="45" t="s">
        <v>62</v>
      </c>
      <c r="F320" s="45" t="s">
        <v>483</v>
      </c>
      <c r="G320" s="100">
        <v>1.3069999999999999</v>
      </c>
      <c r="H320" s="45" t="s">
        <v>413</v>
      </c>
      <c r="I320" s="45"/>
    </row>
    <row r="321" spans="1:9" x14ac:dyDescent="0.25">
      <c r="A321" s="31"/>
      <c r="B321" s="25"/>
      <c r="C321" s="25"/>
      <c r="D321" s="44"/>
      <c r="E321" s="75"/>
      <c r="F321" s="45"/>
      <c r="G321" s="74"/>
      <c r="H321" s="45"/>
      <c r="I321" s="45"/>
    </row>
    <row r="322" spans="1:9" x14ac:dyDescent="0.25">
      <c r="A322" s="31"/>
      <c r="B322" s="25"/>
      <c r="C322" s="25"/>
      <c r="D322" s="44" t="s">
        <v>327</v>
      </c>
      <c r="E322" s="75"/>
      <c r="F322" s="45"/>
      <c r="G322" s="74"/>
      <c r="H322" s="45"/>
      <c r="I322" s="45"/>
    </row>
    <row r="323" spans="1:9" x14ac:dyDescent="0.25">
      <c r="A323" s="31"/>
      <c r="B323" s="25"/>
      <c r="C323" s="25"/>
      <c r="D323" s="44" t="s">
        <v>325</v>
      </c>
      <c r="E323" s="45" t="s">
        <v>62</v>
      </c>
      <c r="F323" s="45" t="s">
        <v>483</v>
      </c>
      <c r="G323" s="100">
        <v>0.312</v>
      </c>
      <c r="H323" s="45" t="s">
        <v>413</v>
      </c>
      <c r="I323" s="45"/>
    </row>
    <row r="324" spans="1:9" x14ac:dyDescent="0.25">
      <c r="A324" s="31"/>
      <c r="B324" s="25"/>
      <c r="C324" s="25"/>
      <c r="D324" s="44"/>
      <c r="E324" s="75"/>
      <c r="F324" s="45"/>
      <c r="G324" s="74"/>
      <c r="H324" s="45"/>
      <c r="I324" s="45"/>
    </row>
    <row r="325" spans="1:9" x14ac:dyDescent="0.25">
      <c r="A325" s="31"/>
      <c r="B325" s="25"/>
      <c r="C325" s="25"/>
      <c r="D325" s="44" t="s">
        <v>328</v>
      </c>
      <c r="E325" s="75"/>
      <c r="F325" s="45"/>
      <c r="G325" s="74"/>
      <c r="H325" s="45"/>
      <c r="I325" s="45"/>
    </row>
    <row r="326" spans="1:9" x14ac:dyDescent="0.25">
      <c r="A326" s="31"/>
      <c r="B326" s="25"/>
      <c r="C326" s="25"/>
      <c r="D326" s="44" t="s">
        <v>317</v>
      </c>
      <c r="E326" s="45" t="s">
        <v>62</v>
      </c>
      <c r="F326" s="45" t="s">
        <v>483</v>
      </c>
      <c r="G326" s="101">
        <v>0.22500000000000001</v>
      </c>
      <c r="H326" s="45" t="s">
        <v>413</v>
      </c>
      <c r="I326" s="45"/>
    </row>
    <row r="327" spans="1:9" x14ac:dyDescent="0.25">
      <c r="A327" s="31"/>
      <c r="B327" s="25"/>
      <c r="C327" s="25"/>
      <c r="D327" s="44"/>
      <c r="E327" s="75"/>
      <c r="F327" s="45"/>
      <c r="G327" s="74"/>
      <c r="H327" s="45"/>
      <c r="I327" s="45"/>
    </row>
    <row r="328" spans="1:9" x14ac:dyDescent="0.25">
      <c r="A328" s="31"/>
      <c r="B328" s="25"/>
      <c r="C328" s="25"/>
      <c r="D328" s="44" t="s">
        <v>329</v>
      </c>
      <c r="E328" s="75"/>
      <c r="F328" s="45"/>
      <c r="G328" s="74"/>
      <c r="H328" s="45"/>
      <c r="I328" s="45"/>
    </row>
    <row r="329" spans="1:9" x14ac:dyDescent="0.25">
      <c r="A329" s="31"/>
      <c r="B329" s="25"/>
      <c r="C329" s="25"/>
      <c r="D329" s="44" t="s">
        <v>317</v>
      </c>
      <c r="E329" s="45" t="s">
        <v>62</v>
      </c>
      <c r="F329" s="45" t="s">
        <v>483</v>
      </c>
      <c r="G329" s="101">
        <v>7.4999999999999997E-2</v>
      </c>
      <c r="H329" s="45" t="s">
        <v>413</v>
      </c>
      <c r="I329" s="45"/>
    </row>
    <row r="330" spans="1:9" x14ac:dyDescent="0.25">
      <c r="A330" s="31"/>
      <c r="B330" s="25"/>
      <c r="C330" s="25"/>
      <c r="D330" s="44"/>
      <c r="E330" s="75"/>
      <c r="F330" s="45"/>
      <c r="G330" s="74"/>
      <c r="H330" s="45"/>
      <c r="I330" s="45"/>
    </row>
    <row r="331" spans="1:9" x14ac:dyDescent="0.25">
      <c r="A331" s="31"/>
      <c r="B331" s="25"/>
      <c r="C331" s="25"/>
      <c r="D331" s="44" t="s">
        <v>330</v>
      </c>
      <c r="E331" s="76" t="s">
        <v>62</v>
      </c>
      <c r="F331" s="45">
        <v>46362</v>
      </c>
      <c r="G331" s="74">
        <v>29.997</v>
      </c>
      <c r="H331" s="45" t="s">
        <v>35</v>
      </c>
      <c r="I331" s="46" t="s">
        <v>243</v>
      </c>
    </row>
    <row r="332" spans="1:9" x14ac:dyDescent="0.25">
      <c r="A332" s="31"/>
      <c r="B332" s="25"/>
      <c r="C332" s="25"/>
      <c r="D332" s="44" t="s">
        <v>317</v>
      </c>
      <c r="E332" s="76" t="s">
        <v>62</v>
      </c>
      <c r="F332" s="45">
        <v>46362</v>
      </c>
      <c r="G332" s="74"/>
      <c r="H332" s="45" t="s">
        <v>35</v>
      </c>
      <c r="I332" s="45"/>
    </row>
    <row r="333" spans="1:9" x14ac:dyDescent="0.25">
      <c r="A333" s="59"/>
      <c r="B333" s="61"/>
      <c r="C333" s="60"/>
      <c r="D333" s="60"/>
      <c r="E333" s="63"/>
      <c r="F333" s="64"/>
      <c r="G333" s="59"/>
      <c r="H333" s="65"/>
      <c r="I333" s="59"/>
    </row>
    <row r="334" spans="1:9" x14ac:dyDescent="0.25">
      <c r="A334" s="31">
        <v>51</v>
      </c>
      <c r="B334" s="25" t="s">
        <v>334</v>
      </c>
      <c r="C334" s="25" t="s">
        <v>275</v>
      </c>
      <c r="D334" s="44" t="s">
        <v>335</v>
      </c>
      <c r="E334" s="96" t="s">
        <v>62</v>
      </c>
      <c r="F334" s="45">
        <v>46178</v>
      </c>
      <c r="G334" s="74"/>
      <c r="H334" s="45" t="s">
        <v>17</v>
      </c>
      <c r="I334" s="45"/>
    </row>
    <row r="335" spans="1:9" x14ac:dyDescent="0.25">
      <c r="A335" s="31"/>
      <c r="B335" s="25"/>
      <c r="C335" s="25"/>
      <c r="D335" s="44" t="s">
        <v>265</v>
      </c>
      <c r="E335" s="96" t="s">
        <v>62</v>
      </c>
      <c r="F335" s="45" t="s">
        <v>450</v>
      </c>
      <c r="G335" s="74"/>
      <c r="H335" s="45" t="s">
        <v>445</v>
      </c>
      <c r="I335" s="45"/>
    </row>
    <row r="336" spans="1:9" x14ac:dyDescent="0.25">
      <c r="A336" s="31"/>
      <c r="B336" s="25"/>
      <c r="C336" s="25"/>
      <c r="D336" s="44" t="s">
        <v>266</v>
      </c>
      <c r="E336" s="96" t="s">
        <v>62</v>
      </c>
      <c r="F336" s="45" t="s">
        <v>468</v>
      </c>
      <c r="G336" s="74"/>
      <c r="H336" s="45" t="s">
        <v>14</v>
      </c>
      <c r="I336" s="45"/>
    </row>
    <row r="337" spans="1:9" x14ac:dyDescent="0.25">
      <c r="A337" s="59"/>
      <c r="B337" s="61"/>
      <c r="C337" s="60"/>
      <c r="D337" s="60"/>
      <c r="E337" s="63"/>
      <c r="F337" s="64"/>
      <c r="G337" s="59"/>
      <c r="H337" s="65"/>
      <c r="I337" s="59"/>
    </row>
    <row r="338" spans="1:9" x14ac:dyDescent="0.25">
      <c r="A338" s="31">
        <v>52</v>
      </c>
      <c r="B338" s="25" t="s">
        <v>336</v>
      </c>
      <c r="C338" s="25" t="s">
        <v>275</v>
      </c>
      <c r="D338" s="44" t="s">
        <v>90</v>
      </c>
      <c r="E338" s="96" t="s">
        <v>62</v>
      </c>
      <c r="F338" s="45">
        <v>46271</v>
      </c>
      <c r="G338" s="74"/>
      <c r="H338" s="45" t="s">
        <v>33</v>
      </c>
      <c r="I338" s="45"/>
    </row>
    <row r="339" spans="1:9" x14ac:dyDescent="0.25">
      <c r="A339" s="31"/>
      <c r="B339" s="25"/>
      <c r="C339" s="25"/>
      <c r="D339" s="44" t="s">
        <v>265</v>
      </c>
      <c r="E339" s="96" t="s">
        <v>62</v>
      </c>
      <c r="F339" s="45" t="s">
        <v>468</v>
      </c>
      <c r="G339" s="74"/>
      <c r="H339" s="45" t="s">
        <v>33</v>
      </c>
      <c r="I339" s="45"/>
    </row>
    <row r="340" spans="1:9" x14ac:dyDescent="0.25">
      <c r="A340" s="31"/>
      <c r="B340" s="25"/>
      <c r="C340" s="25"/>
      <c r="D340" s="44" t="s">
        <v>337</v>
      </c>
      <c r="E340" s="96" t="s">
        <v>62</v>
      </c>
      <c r="F340" s="45" t="s">
        <v>456</v>
      </c>
      <c r="G340" s="74"/>
      <c r="H340" s="45" t="s">
        <v>33</v>
      </c>
      <c r="I340" s="45"/>
    </row>
    <row r="341" spans="1:9" x14ac:dyDescent="0.25">
      <c r="A341" s="59"/>
      <c r="B341" s="61"/>
      <c r="C341" s="60"/>
      <c r="D341" s="60"/>
      <c r="E341" s="63"/>
      <c r="F341" s="64"/>
      <c r="G341" s="59"/>
      <c r="H341" s="65"/>
      <c r="I341" s="59"/>
    </row>
    <row r="342" spans="1:9" x14ac:dyDescent="0.25">
      <c r="A342" s="31">
        <v>53</v>
      </c>
      <c r="B342" s="25" t="s">
        <v>379</v>
      </c>
      <c r="C342" s="25" t="s">
        <v>275</v>
      </c>
      <c r="D342" s="44" t="s">
        <v>380</v>
      </c>
      <c r="E342" s="76" t="s">
        <v>62</v>
      </c>
      <c r="F342" s="45" t="s">
        <v>387</v>
      </c>
      <c r="G342" s="74"/>
      <c r="H342" s="45" t="s">
        <v>33</v>
      </c>
      <c r="I342" s="45"/>
    </row>
    <row r="343" spans="1:9" x14ac:dyDescent="0.25">
      <c r="A343" s="31"/>
      <c r="B343" s="25"/>
      <c r="C343" s="25"/>
      <c r="D343" s="44" t="s">
        <v>53</v>
      </c>
      <c r="E343" s="76" t="s">
        <v>62</v>
      </c>
      <c r="F343" s="45" t="s">
        <v>387</v>
      </c>
      <c r="G343" s="74"/>
      <c r="H343" s="45" t="s">
        <v>31</v>
      </c>
      <c r="I343" s="45"/>
    </row>
    <row r="344" spans="1:9" x14ac:dyDescent="0.25">
      <c r="A344" s="31"/>
      <c r="B344" s="25"/>
      <c r="C344" s="25"/>
      <c r="D344" s="44" t="s">
        <v>265</v>
      </c>
      <c r="E344" s="76" t="s">
        <v>62</v>
      </c>
      <c r="F344" s="45" t="s">
        <v>332</v>
      </c>
      <c r="G344" s="74"/>
      <c r="H344" s="45" t="s">
        <v>28</v>
      </c>
      <c r="I344" s="45"/>
    </row>
    <row r="345" spans="1:9" x14ac:dyDescent="0.25">
      <c r="A345" s="31"/>
      <c r="B345" s="25"/>
      <c r="C345" s="25"/>
      <c r="D345" s="44" t="s">
        <v>266</v>
      </c>
      <c r="E345" s="76" t="s">
        <v>62</v>
      </c>
      <c r="F345" s="45" t="s">
        <v>332</v>
      </c>
      <c r="G345" s="74"/>
      <c r="H345" s="45"/>
      <c r="I345" s="45"/>
    </row>
    <row r="346" spans="1:9" x14ac:dyDescent="0.25">
      <c r="A346" s="59"/>
      <c r="B346" s="61"/>
      <c r="C346" s="60"/>
      <c r="D346" s="60"/>
      <c r="E346" s="63"/>
      <c r="F346" s="64"/>
      <c r="G346" s="59"/>
      <c r="H346" s="65"/>
      <c r="I346" s="59"/>
    </row>
    <row r="347" spans="1:9" x14ac:dyDescent="0.25">
      <c r="A347" s="31">
        <v>54</v>
      </c>
      <c r="B347" s="25" t="s">
        <v>384</v>
      </c>
      <c r="C347" s="25" t="s">
        <v>275</v>
      </c>
      <c r="D347" s="44" t="s">
        <v>135</v>
      </c>
      <c r="E347" s="76" t="s">
        <v>62</v>
      </c>
      <c r="F347" s="45">
        <v>46332</v>
      </c>
      <c r="G347" s="74">
        <v>6.1079999999999997</v>
      </c>
      <c r="H347" s="45" t="s">
        <v>17</v>
      </c>
      <c r="I347" s="45"/>
    </row>
    <row r="348" spans="1:9" x14ac:dyDescent="0.25">
      <c r="A348" s="31"/>
      <c r="B348" s="25"/>
      <c r="C348" s="25"/>
      <c r="D348" s="44" t="s">
        <v>385</v>
      </c>
      <c r="E348" s="76" t="s">
        <v>62</v>
      </c>
      <c r="F348" s="45" t="s">
        <v>382</v>
      </c>
      <c r="G348" s="74">
        <v>1.66</v>
      </c>
      <c r="H348" s="67" t="s">
        <v>16</v>
      </c>
      <c r="I348" s="45" t="s">
        <v>243</v>
      </c>
    </row>
    <row r="349" spans="1:9" x14ac:dyDescent="0.25">
      <c r="A349" s="59"/>
      <c r="B349" s="61"/>
      <c r="C349" s="60"/>
      <c r="D349" s="60"/>
      <c r="E349" s="63"/>
      <c r="F349" s="64"/>
      <c r="G349" s="59"/>
      <c r="H349" s="65"/>
      <c r="I349" s="59"/>
    </row>
    <row r="350" spans="1:9" x14ac:dyDescent="0.25">
      <c r="A350" s="31">
        <v>55</v>
      </c>
      <c r="B350" s="25" t="s">
        <v>386</v>
      </c>
      <c r="C350" s="25" t="s">
        <v>275</v>
      </c>
      <c r="D350" s="44" t="s">
        <v>335</v>
      </c>
      <c r="E350" s="76" t="s">
        <v>62</v>
      </c>
      <c r="F350" s="45">
        <v>46189</v>
      </c>
      <c r="G350" s="74">
        <v>2.2639999999999998</v>
      </c>
      <c r="H350" s="45" t="s">
        <v>35</v>
      </c>
      <c r="I350" s="45" t="s">
        <v>14</v>
      </c>
    </row>
    <row r="351" spans="1:9" x14ac:dyDescent="0.25">
      <c r="A351" s="31"/>
      <c r="B351" s="25"/>
      <c r="C351" s="25"/>
      <c r="D351" s="44" t="s">
        <v>265</v>
      </c>
      <c r="E351" s="76" t="s">
        <v>62</v>
      </c>
      <c r="F351" s="73">
        <v>46193</v>
      </c>
      <c r="G351" s="74">
        <v>3.621</v>
      </c>
      <c r="H351" s="45" t="s">
        <v>35</v>
      </c>
      <c r="I351" s="45" t="s">
        <v>426</v>
      </c>
    </row>
    <row r="352" spans="1:9" x14ac:dyDescent="0.25">
      <c r="A352" s="31"/>
      <c r="B352" s="25"/>
      <c r="C352" s="25"/>
      <c r="D352" s="44" t="s">
        <v>266</v>
      </c>
      <c r="E352" s="76" t="s">
        <v>62</v>
      </c>
      <c r="F352" s="73">
        <v>46199</v>
      </c>
      <c r="G352" s="74">
        <v>1.4119999999999999</v>
      </c>
      <c r="H352" s="45" t="s">
        <v>35</v>
      </c>
      <c r="I352" s="45" t="s">
        <v>426</v>
      </c>
    </row>
    <row r="353" spans="1:9" x14ac:dyDescent="0.25">
      <c r="A353" s="59"/>
      <c r="B353" s="61"/>
      <c r="C353" s="60"/>
      <c r="D353" s="60"/>
      <c r="E353" s="63"/>
      <c r="F353" s="64"/>
      <c r="G353" s="59"/>
      <c r="H353" s="65"/>
      <c r="I353" s="59"/>
    </row>
    <row r="354" spans="1:9" x14ac:dyDescent="0.25">
      <c r="A354" s="31">
        <v>56</v>
      </c>
      <c r="B354" s="25" t="s">
        <v>407</v>
      </c>
      <c r="C354" s="25" t="s">
        <v>275</v>
      </c>
      <c r="D354" s="44" t="s">
        <v>408</v>
      </c>
      <c r="E354" s="76" t="s">
        <v>62</v>
      </c>
      <c r="F354" s="73" t="s">
        <v>475</v>
      </c>
      <c r="G354" s="46"/>
      <c r="H354" s="45" t="s">
        <v>35</v>
      </c>
      <c r="I354" s="45"/>
    </row>
    <row r="355" spans="1:9" x14ac:dyDescent="0.25">
      <c r="A355" s="31"/>
      <c r="B355" s="25"/>
      <c r="C355" s="25"/>
      <c r="D355" s="44" t="s">
        <v>409</v>
      </c>
      <c r="E355" s="76" t="s">
        <v>62</v>
      </c>
      <c r="F355" s="73" t="s">
        <v>475</v>
      </c>
      <c r="G355" s="46"/>
      <c r="H355" s="45" t="s">
        <v>35</v>
      </c>
      <c r="I355" s="45"/>
    </row>
    <row r="356" spans="1:9" x14ac:dyDescent="0.25">
      <c r="A356" s="31"/>
      <c r="B356" s="25"/>
      <c r="C356" s="25"/>
      <c r="D356" s="44" t="s">
        <v>410</v>
      </c>
      <c r="E356" s="76" t="s">
        <v>62</v>
      </c>
      <c r="F356" s="73" t="s">
        <v>475</v>
      </c>
      <c r="G356" s="46"/>
      <c r="H356" s="45" t="s">
        <v>35</v>
      </c>
      <c r="I356" s="45"/>
    </row>
    <row r="357" spans="1:9" x14ac:dyDescent="0.25">
      <c r="A357" s="59"/>
      <c r="B357" s="61"/>
      <c r="C357" s="60"/>
      <c r="D357" s="60"/>
      <c r="E357" s="63"/>
      <c r="F357" s="64"/>
      <c r="G357" s="59"/>
      <c r="H357" s="65"/>
      <c r="I357" s="59"/>
    </row>
    <row r="358" spans="1:9" x14ac:dyDescent="0.25">
      <c r="A358" s="31">
        <v>57</v>
      </c>
      <c r="B358" s="25" t="s">
        <v>415</v>
      </c>
      <c r="C358" s="25" t="s">
        <v>275</v>
      </c>
      <c r="D358" s="44" t="s">
        <v>135</v>
      </c>
      <c r="E358" s="76" t="s">
        <v>62</v>
      </c>
      <c r="F358" s="73" t="s">
        <v>270</v>
      </c>
      <c r="G358" s="46"/>
      <c r="H358" s="45"/>
      <c r="I358" s="45"/>
    </row>
    <row r="359" spans="1:9" x14ac:dyDescent="0.25">
      <c r="A359" s="31"/>
      <c r="B359" s="25"/>
      <c r="C359" s="25"/>
      <c r="D359" s="44" t="s">
        <v>265</v>
      </c>
      <c r="E359" s="76" t="s">
        <v>62</v>
      </c>
      <c r="F359" s="73">
        <v>46272</v>
      </c>
      <c r="G359" s="46"/>
      <c r="H359" s="45" t="s">
        <v>472</v>
      </c>
      <c r="I359" s="45"/>
    </row>
    <row r="360" spans="1:9" x14ac:dyDescent="0.25">
      <c r="A360" s="31"/>
      <c r="B360" s="25"/>
      <c r="C360" s="25"/>
      <c r="D360" s="44" t="s">
        <v>416</v>
      </c>
      <c r="E360" s="76" t="s">
        <v>62</v>
      </c>
      <c r="F360" s="73">
        <v>46272</v>
      </c>
      <c r="G360" s="46"/>
      <c r="H360" s="45" t="s">
        <v>472</v>
      </c>
      <c r="I360" s="45"/>
    </row>
    <row r="361" spans="1:9" x14ac:dyDescent="0.25">
      <c r="A361" s="31"/>
      <c r="B361" s="25"/>
      <c r="C361" s="25"/>
      <c r="D361" s="44" t="s">
        <v>266</v>
      </c>
      <c r="E361" s="76" t="s">
        <v>62</v>
      </c>
      <c r="F361" s="73">
        <v>46333</v>
      </c>
      <c r="G361" s="46"/>
      <c r="H361" s="45" t="s">
        <v>472</v>
      </c>
      <c r="I361" s="45"/>
    </row>
    <row r="362" spans="1:9" x14ac:dyDescent="0.25">
      <c r="A362" s="59"/>
      <c r="B362" s="61"/>
      <c r="C362" s="60"/>
      <c r="D362" s="60"/>
      <c r="E362" s="63"/>
      <c r="F362" s="64"/>
      <c r="G362" s="59"/>
      <c r="H362" s="65"/>
      <c r="I362" s="59"/>
    </row>
    <row r="363" spans="1:9" x14ac:dyDescent="0.25">
      <c r="A363" s="31">
        <v>58</v>
      </c>
      <c r="B363" s="25" t="s">
        <v>418</v>
      </c>
      <c r="C363" s="25" t="s">
        <v>275</v>
      </c>
      <c r="D363" s="44" t="s">
        <v>135</v>
      </c>
      <c r="E363" s="76" t="s">
        <v>62</v>
      </c>
      <c r="F363" s="45" t="s">
        <v>270</v>
      </c>
      <c r="G363" s="46"/>
      <c r="H363" s="45" t="s">
        <v>388</v>
      </c>
      <c r="I363" s="45"/>
    </row>
    <row r="364" spans="1:9" x14ac:dyDescent="0.25">
      <c r="A364" s="31"/>
      <c r="B364" s="25"/>
      <c r="C364" s="25"/>
      <c r="D364" s="44" t="s">
        <v>265</v>
      </c>
      <c r="E364" s="76" t="s">
        <v>62</v>
      </c>
      <c r="F364" s="45" t="s">
        <v>270</v>
      </c>
      <c r="G364" s="46"/>
      <c r="H364" s="45" t="s">
        <v>388</v>
      </c>
      <c r="I364" s="45"/>
    </row>
    <row r="365" spans="1:9" x14ac:dyDescent="0.25">
      <c r="A365" s="59"/>
      <c r="B365" s="61"/>
      <c r="C365" s="60"/>
      <c r="D365" s="60"/>
      <c r="E365" s="63"/>
      <c r="F365" s="64"/>
      <c r="G365" s="59"/>
      <c r="H365" s="65"/>
      <c r="I365" s="59"/>
    </row>
    <row r="366" spans="1:9" x14ac:dyDescent="0.25">
      <c r="A366" s="31">
        <v>59</v>
      </c>
      <c r="B366" s="25" t="s">
        <v>419</v>
      </c>
      <c r="C366" s="25" t="s">
        <v>275</v>
      </c>
      <c r="D366" s="44" t="s">
        <v>135</v>
      </c>
      <c r="E366" s="76" t="s">
        <v>62</v>
      </c>
      <c r="F366" s="73" t="s">
        <v>270</v>
      </c>
      <c r="G366" s="97">
        <v>1.087</v>
      </c>
      <c r="H366" s="45" t="s">
        <v>17</v>
      </c>
      <c r="I366" s="45"/>
    </row>
    <row r="367" spans="1:9" x14ac:dyDescent="0.25">
      <c r="A367" s="31"/>
      <c r="B367" s="25"/>
      <c r="C367" s="25"/>
      <c r="D367" s="44" t="s">
        <v>265</v>
      </c>
      <c r="E367" s="76" t="s">
        <v>62</v>
      </c>
      <c r="F367" s="73" t="s">
        <v>270</v>
      </c>
      <c r="G367" s="97">
        <v>1.032</v>
      </c>
      <c r="H367" s="45" t="s">
        <v>228</v>
      </c>
      <c r="I367" s="45"/>
    </row>
    <row r="368" spans="1:9" x14ac:dyDescent="0.25">
      <c r="A368" s="59"/>
      <c r="B368" s="61"/>
      <c r="C368" s="60"/>
      <c r="D368" s="60"/>
      <c r="E368" s="63"/>
      <c r="F368" s="64"/>
      <c r="G368" s="59"/>
      <c r="H368" s="65"/>
      <c r="I368" s="59"/>
    </row>
    <row r="369" spans="1:9" x14ac:dyDescent="0.25">
      <c r="A369" s="31">
        <v>60</v>
      </c>
      <c r="B369" s="25" t="s">
        <v>420</v>
      </c>
      <c r="C369" s="25" t="s">
        <v>37</v>
      </c>
      <c r="D369" s="44" t="s">
        <v>135</v>
      </c>
      <c r="E369" s="76" t="s">
        <v>62</v>
      </c>
      <c r="F369" s="73" t="s">
        <v>389</v>
      </c>
      <c r="G369" s="46"/>
      <c r="H369" s="45" t="s">
        <v>388</v>
      </c>
      <c r="I369" s="45"/>
    </row>
    <row r="370" spans="1:9" x14ac:dyDescent="0.25">
      <c r="A370" s="31"/>
      <c r="B370" s="25"/>
      <c r="C370" s="25"/>
      <c r="D370" s="44" t="s">
        <v>265</v>
      </c>
      <c r="E370" s="76" t="s">
        <v>62</v>
      </c>
      <c r="F370" s="73" t="s">
        <v>389</v>
      </c>
      <c r="G370" s="46"/>
      <c r="H370" s="45" t="s">
        <v>388</v>
      </c>
      <c r="I370" s="45"/>
    </row>
    <row r="371" spans="1:9" x14ac:dyDescent="0.25">
      <c r="A371" s="59"/>
      <c r="B371" s="61"/>
      <c r="C371" s="60"/>
      <c r="D371" s="60"/>
      <c r="E371" s="63"/>
      <c r="F371" s="64"/>
      <c r="G371" s="59"/>
      <c r="H371" s="65"/>
      <c r="I371" s="59"/>
    </row>
    <row r="372" spans="1:9" x14ac:dyDescent="0.25">
      <c r="A372" s="31">
        <v>61</v>
      </c>
      <c r="B372" s="25" t="s">
        <v>428</v>
      </c>
      <c r="C372" s="25" t="s">
        <v>275</v>
      </c>
      <c r="D372" s="44" t="s">
        <v>135</v>
      </c>
      <c r="E372" s="76" t="s">
        <v>62</v>
      </c>
      <c r="F372" s="73">
        <v>46333</v>
      </c>
      <c r="G372" s="46">
        <v>6.4219999999999997</v>
      </c>
      <c r="H372" s="45" t="s">
        <v>35</v>
      </c>
      <c r="I372" s="45"/>
    </row>
    <row r="373" spans="1:9" x14ac:dyDescent="0.25">
      <c r="A373" s="31"/>
      <c r="B373" s="25"/>
      <c r="C373" s="25"/>
      <c r="D373" s="44" t="s">
        <v>372</v>
      </c>
      <c r="E373" s="76" t="s">
        <v>62</v>
      </c>
      <c r="F373" s="73" t="s">
        <v>486</v>
      </c>
      <c r="G373" s="46">
        <v>3.544</v>
      </c>
      <c r="H373" s="45" t="s">
        <v>63</v>
      </c>
      <c r="I373" s="45"/>
    </row>
    <row r="374" spans="1:9" x14ac:dyDescent="0.25">
      <c r="A374" s="31"/>
      <c r="B374" s="25"/>
      <c r="C374" s="25"/>
      <c r="D374" s="44" t="s">
        <v>501</v>
      </c>
      <c r="E374" s="76" t="s">
        <v>62</v>
      </c>
      <c r="F374" s="73" t="s">
        <v>500</v>
      </c>
      <c r="G374" s="46"/>
      <c r="H374" s="45" t="s">
        <v>63</v>
      </c>
      <c r="I374" s="45"/>
    </row>
    <row r="375" spans="1:9" x14ac:dyDescent="0.25">
      <c r="A375" s="31"/>
      <c r="B375" s="25"/>
      <c r="C375" s="25"/>
      <c r="D375" s="44" t="s">
        <v>266</v>
      </c>
      <c r="E375" s="76" t="s">
        <v>62</v>
      </c>
      <c r="F375" s="73" t="s">
        <v>500</v>
      </c>
      <c r="G375" s="46"/>
      <c r="H375" s="45" t="s">
        <v>50</v>
      </c>
      <c r="I375" s="45"/>
    </row>
    <row r="376" spans="1:9" x14ac:dyDescent="0.25">
      <c r="A376" s="59"/>
      <c r="B376" s="61"/>
      <c r="C376" s="60"/>
      <c r="D376" s="60"/>
      <c r="E376" s="63"/>
      <c r="F376" s="64"/>
      <c r="G376" s="59"/>
      <c r="H376" s="65"/>
      <c r="I376" s="59"/>
    </row>
    <row r="377" spans="1:9" x14ac:dyDescent="0.25">
      <c r="A377" s="31">
        <v>62</v>
      </c>
      <c r="B377" s="25" t="s">
        <v>429</v>
      </c>
      <c r="C377" s="25" t="s">
        <v>275</v>
      </c>
      <c r="D377" s="44" t="s">
        <v>135</v>
      </c>
      <c r="E377" s="76" t="s">
        <v>62</v>
      </c>
      <c r="F377" s="73">
        <v>46302</v>
      </c>
      <c r="G377" s="46">
        <v>15.037000000000001</v>
      </c>
      <c r="H377" s="45" t="s">
        <v>33</v>
      </c>
      <c r="I377" s="45"/>
    </row>
    <row r="378" spans="1:9" x14ac:dyDescent="0.25">
      <c r="A378" s="31"/>
      <c r="B378" s="25"/>
      <c r="C378" s="25"/>
      <c r="D378" s="44" t="s">
        <v>265</v>
      </c>
      <c r="E378" s="76" t="s">
        <v>62</v>
      </c>
      <c r="F378" s="73" t="s">
        <v>481</v>
      </c>
      <c r="G378" s="46">
        <v>8.6129999999999995</v>
      </c>
      <c r="H378" s="45" t="s">
        <v>33</v>
      </c>
      <c r="I378" s="45"/>
    </row>
    <row r="379" spans="1:9" x14ac:dyDescent="0.25">
      <c r="A379" s="31"/>
      <c r="B379" s="25"/>
      <c r="C379" s="25"/>
      <c r="D379" s="44" t="s">
        <v>266</v>
      </c>
      <c r="E379" s="76" t="s">
        <v>62</v>
      </c>
      <c r="F379" s="73" t="s">
        <v>502</v>
      </c>
      <c r="G379" s="46">
        <v>5.3319999999999999</v>
      </c>
      <c r="H379" s="45" t="s">
        <v>33</v>
      </c>
      <c r="I379" s="45"/>
    </row>
    <row r="380" spans="1:9" x14ac:dyDescent="0.25">
      <c r="A380" s="59"/>
      <c r="B380" s="61"/>
      <c r="C380" s="60"/>
      <c r="D380" s="60"/>
      <c r="E380" s="63"/>
      <c r="F380" s="64"/>
      <c r="G380" s="59"/>
      <c r="H380" s="65"/>
      <c r="I380" s="59"/>
    </row>
    <row r="381" spans="1:9" x14ac:dyDescent="0.25">
      <c r="A381" s="31">
        <v>63</v>
      </c>
      <c r="B381" s="25" t="s">
        <v>442</v>
      </c>
      <c r="C381" s="25" t="s">
        <v>275</v>
      </c>
      <c r="D381" s="44" t="s">
        <v>444</v>
      </c>
      <c r="E381" s="76" t="s">
        <v>62</v>
      </c>
      <c r="F381" s="73" t="s">
        <v>452</v>
      </c>
      <c r="G381" s="46"/>
      <c r="H381" s="45" t="s">
        <v>34</v>
      </c>
      <c r="I381" s="45"/>
    </row>
    <row r="382" spans="1:9" x14ac:dyDescent="0.25">
      <c r="A382" s="59"/>
      <c r="B382" s="61"/>
      <c r="C382" s="60"/>
      <c r="D382" s="60"/>
      <c r="E382" s="63"/>
      <c r="F382" s="64"/>
      <c r="G382" s="59"/>
      <c r="H382" s="65"/>
      <c r="I382" s="59"/>
    </row>
    <row r="383" spans="1:9" x14ac:dyDescent="0.25">
      <c r="A383" s="31">
        <v>64</v>
      </c>
      <c r="B383" s="25" t="s">
        <v>441</v>
      </c>
      <c r="C383" s="25" t="s">
        <v>275</v>
      </c>
      <c r="D383" s="44" t="s">
        <v>476</v>
      </c>
      <c r="E383" s="76" t="s">
        <v>62</v>
      </c>
      <c r="F383" s="73" t="s">
        <v>475</v>
      </c>
      <c r="G383" s="46"/>
      <c r="H383" s="45" t="s">
        <v>33</v>
      </c>
      <c r="I383" s="45"/>
    </row>
    <row r="384" spans="1:9" x14ac:dyDescent="0.25">
      <c r="A384" s="31"/>
      <c r="B384" s="25"/>
      <c r="C384" s="25"/>
      <c r="D384" s="44" t="s">
        <v>477</v>
      </c>
      <c r="E384" s="76" t="s">
        <v>62</v>
      </c>
      <c r="F384" s="73" t="s">
        <v>485</v>
      </c>
      <c r="G384" s="46"/>
      <c r="H384" s="45" t="s">
        <v>33</v>
      </c>
      <c r="I384" s="45"/>
    </row>
    <row r="385" spans="1:9" x14ac:dyDescent="0.25">
      <c r="A385" s="59"/>
      <c r="B385" s="61"/>
      <c r="C385" s="60"/>
      <c r="D385" s="60"/>
      <c r="E385" s="63"/>
      <c r="F385" s="64"/>
      <c r="G385" s="59"/>
      <c r="H385" s="65"/>
      <c r="I385" s="59"/>
    </row>
    <row r="386" spans="1:9" x14ac:dyDescent="0.25">
      <c r="A386" s="31">
        <v>65</v>
      </c>
      <c r="B386" s="25" t="s">
        <v>443</v>
      </c>
      <c r="C386" s="25" t="s">
        <v>275</v>
      </c>
      <c r="D386" s="44" t="s">
        <v>335</v>
      </c>
      <c r="E386" s="76" t="s">
        <v>62</v>
      </c>
      <c r="F386" s="73" t="s">
        <v>331</v>
      </c>
      <c r="G386" s="46"/>
      <c r="H386" s="45" t="s">
        <v>35</v>
      </c>
      <c r="I386" s="45"/>
    </row>
    <row r="387" spans="1:9" x14ac:dyDescent="0.25">
      <c r="A387" s="31"/>
      <c r="B387" s="25"/>
      <c r="C387" s="25"/>
      <c r="D387" s="44" t="s">
        <v>153</v>
      </c>
      <c r="E387" s="76" t="s">
        <v>62</v>
      </c>
      <c r="F387" s="73" t="s">
        <v>331</v>
      </c>
      <c r="G387" s="46"/>
      <c r="H387" s="45"/>
      <c r="I387" s="45"/>
    </row>
    <row r="388" spans="1:9" x14ac:dyDescent="0.25">
      <c r="A388" s="59"/>
      <c r="B388" s="61"/>
      <c r="C388" s="60"/>
      <c r="D388" s="60"/>
      <c r="E388" s="63"/>
      <c r="F388" s="64"/>
      <c r="G388" s="59"/>
      <c r="H388" s="65"/>
      <c r="I388" s="59"/>
    </row>
    <row r="389" spans="1:9" x14ac:dyDescent="0.25">
      <c r="A389" s="31">
        <v>66</v>
      </c>
      <c r="B389" s="25" t="s">
        <v>446</v>
      </c>
      <c r="C389" s="25" t="s">
        <v>275</v>
      </c>
      <c r="D389" s="44" t="s">
        <v>29</v>
      </c>
      <c r="E389" s="76" t="s">
        <v>62</v>
      </c>
      <c r="F389" s="73" t="s">
        <v>456</v>
      </c>
      <c r="G389" s="46">
        <v>23.736999999999998</v>
      </c>
      <c r="H389" s="45" t="s">
        <v>34</v>
      </c>
      <c r="I389" s="45"/>
    </row>
    <row r="390" spans="1:9" x14ac:dyDescent="0.25">
      <c r="A390" s="31"/>
      <c r="B390" s="25"/>
      <c r="C390" s="25"/>
      <c r="D390" s="44" t="s">
        <v>53</v>
      </c>
      <c r="E390" s="76" t="s">
        <v>62</v>
      </c>
      <c r="F390" s="73">
        <v>46211</v>
      </c>
      <c r="G390" s="46">
        <v>6.1040000000000001</v>
      </c>
      <c r="H390" s="45" t="s">
        <v>34</v>
      </c>
      <c r="I390" s="45"/>
    </row>
    <row r="391" spans="1:9" x14ac:dyDescent="0.25">
      <c r="A391" s="31"/>
      <c r="B391" s="25"/>
      <c r="C391" s="25"/>
      <c r="D391" s="44" t="s">
        <v>208</v>
      </c>
      <c r="E391" s="76" t="s">
        <v>62</v>
      </c>
      <c r="F391" s="73" t="s">
        <v>486</v>
      </c>
      <c r="G391" s="46">
        <v>16.442</v>
      </c>
      <c r="H391" s="45" t="s">
        <v>34</v>
      </c>
      <c r="I391" s="45"/>
    </row>
    <row r="392" spans="1:9" x14ac:dyDescent="0.25">
      <c r="A392" s="31"/>
      <c r="B392" s="25"/>
      <c r="C392" s="25"/>
      <c r="D392" s="44" t="s">
        <v>165</v>
      </c>
      <c r="E392" s="76" t="s">
        <v>62</v>
      </c>
      <c r="F392" s="73" t="s">
        <v>500</v>
      </c>
      <c r="G392" s="46">
        <v>1.593</v>
      </c>
      <c r="H392" s="45" t="s">
        <v>34</v>
      </c>
      <c r="I392" s="45"/>
    </row>
    <row r="393" spans="1:9" x14ac:dyDescent="0.25">
      <c r="A393" s="59"/>
      <c r="B393" s="61"/>
      <c r="C393" s="60"/>
      <c r="D393" s="60"/>
      <c r="E393" s="63"/>
      <c r="F393" s="64"/>
      <c r="G393" s="59"/>
      <c r="H393" s="65"/>
      <c r="I393" s="59"/>
    </row>
    <row r="394" spans="1:9" x14ac:dyDescent="0.25">
      <c r="A394" s="31">
        <v>67</v>
      </c>
      <c r="B394" s="25" t="s">
        <v>447</v>
      </c>
      <c r="C394" s="25" t="s">
        <v>275</v>
      </c>
      <c r="D394" s="44" t="s">
        <v>537</v>
      </c>
      <c r="E394" s="76" t="s">
        <v>62</v>
      </c>
      <c r="F394" s="73" t="s">
        <v>456</v>
      </c>
      <c r="G394" s="46">
        <v>4.2690000000000001</v>
      </c>
      <c r="H394" s="45" t="s">
        <v>16</v>
      </c>
      <c r="I394" s="45"/>
    </row>
    <row r="395" spans="1:9" x14ac:dyDescent="0.25">
      <c r="A395" s="31"/>
      <c r="B395" s="25"/>
      <c r="C395" s="25"/>
      <c r="D395" s="44" t="s">
        <v>153</v>
      </c>
      <c r="E395" s="76" t="s">
        <v>62</v>
      </c>
      <c r="F395" s="73" t="s">
        <v>487</v>
      </c>
      <c r="G395" s="46">
        <v>1.4590000000000001</v>
      </c>
      <c r="H395" s="45" t="s">
        <v>388</v>
      </c>
      <c r="I395" s="45"/>
    </row>
    <row r="396" spans="1:9" x14ac:dyDescent="0.25">
      <c r="A396" s="31"/>
      <c r="B396" s="25"/>
      <c r="C396" s="25"/>
      <c r="D396" s="44" t="s">
        <v>165</v>
      </c>
      <c r="E396" s="76" t="s">
        <v>62</v>
      </c>
      <c r="F396" s="73">
        <v>46031</v>
      </c>
      <c r="G396" s="46"/>
      <c r="H396" s="45" t="s">
        <v>388</v>
      </c>
      <c r="I396" s="45"/>
    </row>
    <row r="397" spans="1:9" x14ac:dyDescent="0.25">
      <c r="A397" s="66"/>
      <c r="B397" s="70"/>
      <c r="C397" s="70"/>
      <c r="D397" s="72"/>
      <c r="E397" s="73"/>
      <c r="F397" s="73"/>
      <c r="G397" s="74"/>
      <c r="H397" s="73"/>
      <c r="I397" s="73"/>
    </row>
    <row r="398" spans="1:9" x14ac:dyDescent="0.25">
      <c r="A398" s="66"/>
      <c r="B398" s="70"/>
      <c r="C398" s="70"/>
      <c r="D398" s="72" t="s">
        <v>489</v>
      </c>
      <c r="E398" s="76" t="s">
        <v>62</v>
      </c>
      <c r="F398" s="73">
        <v>46211</v>
      </c>
      <c r="G398" s="74">
        <v>0.67500000000000004</v>
      </c>
      <c r="H398" s="73"/>
      <c r="I398" s="73"/>
    </row>
    <row r="399" spans="1:9" x14ac:dyDescent="0.25">
      <c r="A399" s="66"/>
      <c r="B399" s="70"/>
      <c r="C399" s="70"/>
      <c r="D399" s="72" t="s">
        <v>490</v>
      </c>
      <c r="E399" s="76" t="s">
        <v>62</v>
      </c>
      <c r="F399" s="73" t="s">
        <v>459</v>
      </c>
      <c r="G399" s="74">
        <v>1.4590000000000001</v>
      </c>
      <c r="H399" s="73" t="s">
        <v>413</v>
      </c>
      <c r="I399" s="73"/>
    </row>
    <row r="400" spans="1:9" x14ac:dyDescent="0.25">
      <c r="A400" s="59"/>
      <c r="B400" s="61"/>
      <c r="C400" s="60"/>
      <c r="D400" s="60"/>
      <c r="E400" s="63"/>
      <c r="F400" s="64"/>
      <c r="G400" s="59"/>
      <c r="H400" s="65"/>
      <c r="I400" s="59"/>
    </row>
    <row r="401" spans="1:9" x14ac:dyDescent="0.25">
      <c r="A401" s="31">
        <v>68</v>
      </c>
      <c r="B401" s="25" t="s">
        <v>448</v>
      </c>
      <c r="C401" s="25" t="s">
        <v>275</v>
      </c>
      <c r="D401" s="44" t="s">
        <v>90</v>
      </c>
      <c r="E401" s="76" t="s">
        <v>62</v>
      </c>
      <c r="F401" s="73" t="s">
        <v>469</v>
      </c>
      <c r="G401" s="46"/>
      <c r="H401" s="45" t="s">
        <v>472</v>
      </c>
      <c r="I401" s="45"/>
    </row>
    <row r="402" spans="1:9" x14ac:dyDescent="0.25">
      <c r="A402" s="31"/>
      <c r="B402" s="25"/>
      <c r="C402" s="25"/>
      <c r="D402" s="44" t="s">
        <v>153</v>
      </c>
      <c r="E402" s="76" t="s">
        <v>62</v>
      </c>
      <c r="F402" s="73" t="s">
        <v>469</v>
      </c>
      <c r="G402" s="46"/>
      <c r="H402" s="45" t="s">
        <v>472</v>
      </c>
      <c r="I402" s="45"/>
    </row>
    <row r="403" spans="1:9" x14ac:dyDescent="0.25">
      <c r="A403" s="59"/>
      <c r="B403" s="61"/>
      <c r="C403" s="60"/>
      <c r="D403" s="60"/>
      <c r="E403" s="63"/>
      <c r="F403" s="64"/>
      <c r="G403" s="59"/>
      <c r="H403" s="65"/>
      <c r="I403" s="59"/>
    </row>
    <row r="404" spans="1:9" x14ac:dyDescent="0.25">
      <c r="A404" s="31">
        <v>69</v>
      </c>
      <c r="B404" s="25" t="s">
        <v>449</v>
      </c>
      <c r="C404" s="25" t="s">
        <v>275</v>
      </c>
      <c r="D404" s="44" t="s">
        <v>29</v>
      </c>
      <c r="E404" s="76" t="s">
        <v>62</v>
      </c>
      <c r="F404" s="45" t="s">
        <v>331</v>
      </c>
      <c r="G404" s="46"/>
      <c r="H404" s="45" t="s">
        <v>33</v>
      </c>
      <c r="I404" s="45"/>
    </row>
    <row r="405" spans="1:9" x14ac:dyDescent="0.25">
      <c r="A405" s="31"/>
      <c r="B405" s="25"/>
      <c r="C405" s="25"/>
      <c r="D405" s="44" t="s">
        <v>53</v>
      </c>
      <c r="E405" s="76" t="s">
        <v>62</v>
      </c>
      <c r="F405" s="45" t="s">
        <v>469</v>
      </c>
      <c r="G405" s="46"/>
      <c r="H405" s="45" t="s">
        <v>33</v>
      </c>
      <c r="I405" s="45"/>
    </row>
    <row r="406" spans="1:9" x14ac:dyDescent="0.25">
      <c r="A406" s="31"/>
      <c r="B406" s="25"/>
      <c r="C406" s="25"/>
      <c r="D406" s="44" t="s">
        <v>153</v>
      </c>
      <c r="E406" s="76" t="s">
        <v>62</v>
      </c>
      <c r="F406" s="45" t="s">
        <v>487</v>
      </c>
      <c r="G406" s="46"/>
      <c r="H406" s="45" t="s">
        <v>33</v>
      </c>
      <c r="I406" s="45"/>
    </row>
    <row r="407" spans="1:9" x14ac:dyDescent="0.25">
      <c r="A407" s="31"/>
      <c r="B407" s="25"/>
      <c r="C407" s="25"/>
      <c r="D407" s="44" t="s">
        <v>497</v>
      </c>
      <c r="E407" s="76" t="s">
        <v>62</v>
      </c>
      <c r="F407" s="45" t="s">
        <v>524</v>
      </c>
      <c r="G407" s="46"/>
      <c r="H407" s="45" t="s">
        <v>16</v>
      </c>
      <c r="I407" s="45"/>
    </row>
    <row r="408" spans="1:9" x14ac:dyDescent="0.25">
      <c r="A408" s="31"/>
      <c r="B408" s="25"/>
      <c r="C408" s="25"/>
      <c r="D408" s="44" t="s">
        <v>522</v>
      </c>
      <c r="E408" s="76" t="s">
        <v>62</v>
      </c>
      <c r="F408" s="45" t="s">
        <v>524</v>
      </c>
      <c r="G408" s="46"/>
      <c r="H408" s="45" t="s">
        <v>33</v>
      </c>
      <c r="I408" s="45"/>
    </row>
    <row r="409" spans="1:9" x14ac:dyDescent="0.25">
      <c r="A409" s="31"/>
      <c r="B409" s="25"/>
      <c r="C409" s="25"/>
      <c r="D409" s="44" t="s">
        <v>165</v>
      </c>
      <c r="E409" s="76" t="s">
        <v>64</v>
      </c>
      <c r="F409" s="45">
        <v>46121</v>
      </c>
      <c r="G409" s="46"/>
      <c r="H409" s="45" t="s">
        <v>33</v>
      </c>
      <c r="I409" s="45"/>
    </row>
    <row r="410" spans="1:9" s="112" customFormat="1" x14ac:dyDescent="0.25">
      <c r="A410" s="66"/>
      <c r="B410" s="70"/>
      <c r="C410" s="70"/>
      <c r="D410" s="44" t="s">
        <v>539</v>
      </c>
      <c r="E410" s="76" t="s">
        <v>64</v>
      </c>
      <c r="F410" s="45">
        <v>46121</v>
      </c>
      <c r="G410" s="46"/>
      <c r="H410" s="45" t="s">
        <v>33</v>
      </c>
      <c r="I410" s="73"/>
    </row>
    <row r="411" spans="1:9" x14ac:dyDescent="0.25">
      <c r="A411" s="59"/>
      <c r="B411" s="61"/>
      <c r="C411" s="60"/>
      <c r="D411" s="60"/>
      <c r="E411" s="63"/>
      <c r="F411" s="64"/>
      <c r="G411" s="59"/>
      <c r="H411" s="65"/>
      <c r="I411" s="59"/>
    </row>
    <row r="412" spans="1:9" x14ac:dyDescent="0.25">
      <c r="A412" s="66">
        <v>70</v>
      </c>
      <c r="B412" s="70" t="s">
        <v>457</v>
      </c>
      <c r="C412" s="25" t="s">
        <v>275</v>
      </c>
      <c r="D412" s="44" t="s">
        <v>135</v>
      </c>
      <c r="E412" s="76" t="s">
        <v>62</v>
      </c>
      <c r="F412" s="45" t="s">
        <v>332</v>
      </c>
      <c r="G412" s="74"/>
      <c r="H412" s="73" t="s">
        <v>388</v>
      </c>
      <c r="I412" s="73"/>
    </row>
    <row r="413" spans="1:9" x14ac:dyDescent="0.25">
      <c r="A413" s="66"/>
      <c r="B413" s="70"/>
      <c r="C413" s="70"/>
      <c r="D413" s="72" t="s">
        <v>458</v>
      </c>
      <c r="E413" s="76" t="s">
        <v>62</v>
      </c>
      <c r="F413" s="45">
        <v>46211</v>
      </c>
      <c r="G413" s="74"/>
      <c r="H413" s="73"/>
      <c r="I413" s="73"/>
    </row>
    <row r="414" spans="1:9" x14ac:dyDescent="0.25">
      <c r="A414" s="66"/>
      <c r="B414" s="70"/>
      <c r="C414" s="70"/>
      <c r="D414" s="72" t="s">
        <v>165</v>
      </c>
      <c r="E414" s="76" t="s">
        <v>62</v>
      </c>
      <c r="F414" s="45">
        <v>46211</v>
      </c>
      <c r="G414" s="74"/>
      <c r="H414" s="73"/>
      <c r="I414" s="73"/>
    </row>
    <row r="415" spans="1:9" x14ac:dyDescent="0.25">
      <c r="A415" s="59"/>
      <c r="B415" s="61"/>
      <c r="C415" s="60"/>
      <c r="D415" s="60"/>
      <c r="E415" s="63"/>
      <c r="F415" s="64"/>
      <c r="G415" s="59"/>
      <c r="H415" s="65"/>
      <c r="I415" s="59"/>
    </row>
    <row r="416" spans="1:9" x14ac:dyDescent="0.25">
      <c r="A416" s="31">
        <v>71</v>
      </c>
      <c r="B416" s="25" t="s">
        <v>453</v>
      </c>
      <c r="C416" s="25" t="s">
        <v>275</v>
      </c>
      <c r="D416" s="44" t="s">
        <v>29</v>
      </c>
      <c r="E416" s="76" t="s">
        <v>62</v>
      </c>
      <c r="F416" s="45" t="s">
        <v>469</v>
      </c>
      <c r="G416" s="46"/>
      <c r="H416" s="45" t="s">
        <v>388</v>
      </c>
      <c r="I416" s="45"/>
    </row>
    <row r="417" spans="1:9" x14ac:dyDescent="0.25">
      <c r="A417" s="31"/>
      <c r="B417" s="25"/>
      <c r="C417" s="25"/>
      <c r="D417" s="44" t="s">
        <v>53</v>
      </c>
      <c r="E417" s="76" t="s">
        <v>62</v>
      </c>
      <c r="F417" s="45" t="s">
        <v>480</v>
      </c>
      <c r="G417" s="46"/>
      <c r="H417" s="45" t="s">
        <v>33</v>
      </c>
      <c r="I417" s="45"/>
    </row>
    <row r="418" spans="1:9" x14ac:dyDescent="0.25">
      <c r="A418" s="31"/>
      <c r="B418" s="25"/>
      <c r="C418" s="25"/>
      <c r="D418" s="44" t="s">
        <v>153</v>
      </c>
      <c r="E418" s="76" t="s">
        <v>64</v>
      </c>
      <c r="F418" s="45">
        <v>46121</v>
      </c>
      <c r="G418" s="46"/>
      <c r="H418" s="45" t="s">
        <v>34</v>
      </c>
      <c r="I418" s="45"/>
    </row>
    <row r="419" spans="1:9" x14ac:dyDescent="0.25">
      <c r="A419" s="31"/>
      <c r="B419" s="25"/>
      <c r="C419" s="25"/>
      <c r="D419" s="44" t="s">
        <v>165</v>
      </c>
      <c r="E419" s="45" t="s">
        <v>166</v>
      </c>
      <c r="F419" s="45">
        <v>46243</v>
      </c>
      <c r="G419" s="46"/>
      <c r="H419" s="45" t="s">
        <v>34</v>
      </c>
      <c r="I419" s="45"/>
    </row>
    <row r="420" spans="1:9" x14ac:dyDescent="0.25">
      <c r="A420" s="31"/>
      <c r="B420" s="25"/>
      <c r="C420" s="25"/>
      <c r="D420" s="44" t="s">
        <v>454</v>
      </c>
      <c r="E420" s="76" t="s">
        <v>62</v>
      </c>
      <c r="F420" s="45" t="s">
        <v>480</v>
      </c>
      <c r="G420" s="46"/>
      <c r="H420" s="45"/>
      <c r="I420" s="45"/>
    </row>
    <row r="421" spans="1:9" x14ac:dyDescent="0.25">
      <c r="A421" s="31"/>
      <c r="B421" s="25"/>
      <c r="C421" s="25"/>
      <c r="D421" s="44" t="s">
        <v>455</v>
      </c>
      <c r="E421" s="76" t="s">
        <v>62</v>
      </c>
      <c r="F421" s="45">
        <v>46303</v>
      </c>
      <c r="G421" s="46"/>
      <c r="H421" s="45"/>
      <c r="I421" s="45"/>
    </row>
    <row r="422" spans="1:9" x14ac:dyDescent="0.25">
      <c r="A422" s="59"/>
      <c r="B422" s="61"/>
      <c r="C422" s="60"/>
      <c r="D422" s="60"/>
      <c r="E422" s="63"/>
      <c r="F422" s="64"/>
      <c r="G422" s="59"/>
      <c r="H422" s="65"/>
      <c r="I422" s="59"/>
    </row>
    <row r="423" spans="1:9" x14ac:dyDescent="0.25">
      <c r="A423" s="31">
        <v>72</v>
      </c>
      <c r="B423" s="70" t="s">
        <v>460</v>
      </c>
      <c r="C423" s="25" t="s">
        <v>275</v>
      </c>
      <c r="D423" s="72" t="s">
        <v>335</v>
      </c>
      <c r="E423" s="76" t="s">
        <v>62</v>
      </c>
      <c r="F423" s="45" t="s">
        <v>456</v>
      </c>
      <c r="G423" s="46">
        <v>13.37</v>
      </c>
      <c r="H423" s="73" t="s">
        <v>50</v>
      </c>
      <c r="I423" s="73"/>
    </row>
    <row r="424" spans="1:9" x14ac:dyDescent="0.25">
      <c r="A424" s="66"/>
      <c r="B424" s="70"/>
      <c r="C424" s="70"/>
      <c r="D424" s="72" t="s">
        <v>153</v>
      </c>
      <c r="E424" s="76" t="s">
        <v>64</v>
      </c>
      <c r="F424" s="45">
        <v>46062</v>
      </c>
      <c r="G424" s="74"/>
      <c r="H424" s="73" t="s">
        <v>50</v>
      </c>
      <c r="I424" s="73"/>
    </row>
    <row r="425" spans="1:9" x14ac:dyDescent="0.25">
      <c r="A425" s="66"/>
      <c r="B425" s="70"/>
      <c r="C425" s="70"/>
      <c r="D425" s="72" t="s">
        <v>165</v>
      </c>
      <c r="E425" s="45" t="s">
        <v>166</v>
      </c>
      <c r="F425" s="45">
        <v>46121</v>
      </c>
      <c r="G425" s="74"/>
      <c r="H425" s="73" t="s">
        <v>50</v>
      </c>
      <c r="I425" s="73"/>
    </row>
    <row r="426" spans="1:9" x14ac:dyDescent="0.25">
      <c r="A426" s="66"/>
      <c r="B426" s="70"/>
      <c r="C426" s="70"/>
      <c r="D426" s="72" t="s">
        <v>467</v>
      </c>
      <c r="E426" s="45" t="s">
        <v>166</v>
      </c>
      <c r="F426" s="45">
        <v>46121</v>
      </c>
      <c r="G426" s="74"/>
      <c r="H426" s="45" t="s">
        <v>16</v>
      </c>
      <c r="I426" s="73"/>
    </row>
    <row r="427" spans="1:9" x14ac:dyDescent="0.25">
      <c r="A427" s="59"/>
      <c r="B427" s="61"/>
      <c r="C427" s="60"/>
      <c r="D427" s="60"/>
      <c r="E427" s="63"/>
      <c r="F427" s="64"/>
      <c r="G427" s="59"/>
      <c r="H427" s="65"/>
      <c r="I427" s="59"/>
    </row>
    <row r="428" spans="1:9" x14ac:dyDescent="0.25">
      <c r="A428" s="31">
        <v>73</v>
      </c>
      <c r="B428" s="70" t="s">
        <v>461</v>
      </c>
      <c r="C428" s="25" t="s">
        <v>275</v>
      </c>
      <c r="D428" s="72" t="s">
        <v>135</v>
      </c>
      <c r="E428" s="76" t="s">
        <v>62</v>
      </c>
      <c r="F428" s="45" t="s">
        <v>456</v>
      </c>
      <c r="G428" s="74"/>
      <c r="H428" s="73" t="s">
        <v>35</v>
      </c>
      <c r="I428" s="73"/>
    </row>
    <row r="429" spans="1:9" x14ac:dyDescent="0.25">
      <c r="A429" s="66"/>
      <c r="B429" s="70"/>
      <c r="C429" s="70"/>
      <c r="D429" s="72" t="s">
        <v>466</v>
      </c>
      <c r="E429" s="76" t="s">
        <v>62</v>
      </c>
      <c r="F429" s="45" t="s">
        <v>456</v>
      </c>
      <c r="G429" s="74"/>
      <c r="H429" s="73"/>
      <c r="I429" s="73"/>
    </row>
    <row r="430" spans="1:9" x14ac:dyDescent="0.25">
      <c r="A430" s="59"/>
      <c r="B430" s="61"/>
      <c r="C430" s="60"/>
      <c r="D430" s="60"/>
      <c r="E430" s="63"/>
      <c r="F430" s="64"/>
      <c r="G430" s="59"/>
      <c r="H430" s="65"/>
      <c r="I430" s="59"/>
    </row>
    <row r="431" spans="1:9" x14ac:dyDescent="0.25">
      <c r="A431" s="66">
        <v>74</v>
      </c>
      <c r="B431" s="70" t="s">
        <v>462</v>
      </c>
      <c r="C431" s="25" t="s">
        <v>275</v>
      </c>
      <c r="D431" s="98" t="s">
        <v>463</v>
      </c>
      <c r="E431" s="76"/>
      <c r="F431" s="45"/>
      <c r="G431" s="74"/>
      <c r="H431" s="73"/>
      <c r="I431" s="73"/>
    </row>
    <row r="432" spans="1:9" ht="18.75" customHeight="1" x14ac:dyDescent="0.25">
      <c r="A432" s="66"/>
      <c r="B432" s="70"/>
      <c r="C432" s="70"/>
      <c r="D432" s="72" t="s">
        <v>135</v>
      </c>
      <c r="E432" s="76" t="s">
        <v>62</v>
      </c>
      <c r="F432" s="45">
        <v>46242</v>
      </c>
      <c r="G432" s="97">
        <v>0.86199999999999999</v>
      </c>
      <c r="H432" s="73"/>
      <c r="I432" s="73"/>
    </row>
    <row r="433" spans="1:9" x14ac:dyDescent="0.25">
      <c r="A433" s="66"/>
      <c r="B433" s="70"/>
      <c r="C433" s="70"/>
      <c r="D433" s="72" t="s">
        <v>96</v>
      </c>
      <c r="E433" s="76" t="s">
        <v>62</v>
      </c>
      <c r="F433" s="45" t="s">
        <v>459</v>
      </c>
      <c r="G433" s="74"/>
      <c r="H433" s="73"/>
      <c r="I433" s="73"/>
    </row>
    <row r="434" spans="1:9" x14ac:dyDescent="0.25">
      <c r="A434" s="66"/>
      <c r="B434" s="70"/>
      <c r="C434" s="70"/>
      <c r="D434" s="72" t="s">
        <v>97</v>
      </c>
      <c r="E434" s="76" t="s">
        <v>62</v>
      </c>
      <c r="F434" s="45" t="s">
        <v>459</v>
      </c>
      <c r="G434" s="74"/>
      <c r="H434" s="73"/>
      <c r="I434" s="73"/>
    </row>
    <row r="435" spans="1:9" x14ac:dyDescent="0.25">
      <c r="A435" s="66"/>
      <c r="B435" s="70"/>
      <c r="C435" s="70"/>
      <c r="D435" s="98" t="s">
        <v>464</v>
      </c>
      <c r="E435" s="76"/>
      <c r="F435" s="45"/>
      <c r="G435" s="74"/>
      <c r="H435" s="73"/>
      <c r="I435" s="73"/>
    </row>
    <row r="436" spans="1:9" x14ac:dyDescent="0.25">
      <c r="A436" s="66"/>
      <c r="B436" s="70"/>
      <c r="C436" s="70"/>
      <c r="D436" s="72" t="s">
        <v>335</v>
      </c>
      <c r="E436" s="76" t="s">
        <v>62</v>
      </c>
      <c r="F436" s="45">
        <v>46242</v>
      </c>
      <c r="G436" s="97">
        <v>2.1389999999999998</v>
      </c>
      <c r="H436" s="73"/>
      <c r="I436" s="73"/>
    </row>
    <row r="437" spans="1:9" x14ac:dyDescent="0.25">
      <c r="A437" s="66"/>
      <c r="B437" s="70"/>
      <c r="C437" s="70"/>
      <c r="D437" s="72" t="s">
        <v>96</v>
      </c>
      <c r="E437" s="76" t="s">
        <v>62</v>
      </c>
      <c r="F437" s="45" t="s">
        <v>459</v>
      </c>
      <c r="G437" s="74"/>
      <c r="H437" s="73"/>
      <c r="I437" s="73"/>
    </row>
    <row r="438" spans="1:9" x14ac:dyDescent="0.25">
      <c r="A438" s="66"/>
      <c r="B438" s="70"/>
      <c r="C438" s="70"/>
      <c r="D438" s="72" t="s">
        <v>165</v>
      </c>
      <c r="E438" s="76" t="s">
        <v>62</v>
      </c>
      <c r="F438" s="45" t="s">
        <v>459</v>
      </c>
      <c r="G438" s="74"/>
      <c r="H438" s="73"/>
      <c r="I438" s="73"/>
    </row>
    <row r="439" spans="1:9" x14ac:dyDescent="0.25">
      <c r="A439" s="59"/>
      <c r="B439" s="61"/>
      <c r="C439" s="60"/>
      <c r="D439" s="60"/>
      <c r="E439" s="63"/>
      <c r="F439" s="64"/>
      <c r="G439" s="59"/>
      <c r="H439" s="65"/>
      <c r="I439" s="59"/>
    </row>
    <row r="440" spans="1:9" x14ac:dyDescent="0.25">
      <c r="A440" s="66">
        <v>75</v>
      </c>
      <c r="B440" s="70" t="s">
        <v>470</v>
      </c>
      <c r="C440" s="25" t="s">
        <v>275</v>
      </c>
      <c r="D440" s="72" t="s">
        <v>90</v>
      </c>
      <c r="E440" s="76" t="s">
        <v>62</v>
      </c>
      <c r="F440" s="45">
        <v>46211</v>
      </c>
      <c r="G440" s="97">
        <v>4.55</v>
      </c>
      <c r="H440" s="73" t="s">
        <v>35</v>
      </c>
      <c r="I440" s="73"/>
    </row>
    <row r="441" spans="1:9" x14ac:dyDescent="0.25">
      <c r="A441" s="66"/>
      <c r="B441" s="70"/>
      <c r="C441" s="70"/>
      <c r="D441" s="72" t="s">
        <v>465</v>
      </c>
      <c r="E441" s="76" t="s">
        <v>62</v>
      </c>
      <c r="F441" s="45" t="s">
        <v>524</v>
      </c>
      <c r="G441" s="74"/>
      <c r="H441" s="73" t="s">
        <v>35</v>
      </c>
      <c r="I441" s="73"/>
    </row>
    <row r="442" spans="1:9" x14ac:dyDescent="0.25">
      <c r="A442" s="66"/>
      <c r="B442" s="70"/>
      <c r="C442" s="70"/>
      <c r="D442" s="72" t="s">
        <v>200</v>
      </c>
      <c r="E442" s="76" t="s">
        <v>62</v>
      </c>
      <c r="F442" s="45">
        <v>46062</v>
      </c>
      <c r="G442" s="74"/>
      <c r="H442" s="73" t="s">
        <v>35</v>
      </c>
      <c r="I442" s="73"/>
    </row>
    <row r="443" spans="1:9" x14ac:dyDescent="0.25">
      <c r="A443" s="59"/>
      <c r="B443" s="61"/>
      <c r="C443" s="60"/>
      <c r="D443" s="60"/>
      <c r="E443" s="63"/>
      <c r="F443" s="64"/>
      <c r="G443" s="59"/>
      <c r="H443" s="65"/>
      <c r="I443" s="59"/>
    </row>
    <row r="444" spans="1:9" x14ac:dyDescent="0.25">
      <c r="A444" s="66">
        <v>76</v>
      </c>
      <c r="B444" s="70" t="s">
        <v>473</v>
      </c>
      <c r="C444" s="25" t="s">
        <v>275</v>
      </c>
      <c r="D444" s="72" t="s">
        <v>90</v>
      </c>
      <c r="E444" s="76" t="s">
        <v>62</v>
      </c>
      <c r="F444" s="45">
        <v>46334</v>
      </c>
      <c r="G444" s="46">
        <v>8.3059999999999992</v>
      </c>
      <c r="H444" s="73" t="s">
        <v>388</v>
      </c>
      <c r="I444" s="73"/>
    </row>
    <row r="445" spans="1:9" x14ac:dyDescent="0.25">
      <c r="A445" s="66"/>
      <c r="B445" s="70"/>
      <c r="C445" s="70"/>
      <c r="D445" s="72" t="s">
        <v>465</v>
      </c>
      <c r="E445" s="76" t="s">
        <v>64</v>
      </c>
      <c r="F445" s="45">
        <v>46121</v>
      </c>
      <c r="G445" s="74"/>
      <c r="H445" s="73" t="s">
        <v>388</v>
      </c>
      <c r="I445" s="73"/>
    </row>
    <row r="446" spans="1:9" x14ac:dyDescent="0.25">
      <c r="A446" s="66"/>
      <c r="B446" s="70"/>
      <c r="C446" s="70"/>
      <c r="D446" s="72" t="s">
        <v>200</v>
      </c>
      <c r="E446" s="45" t="s">
        <v>166</v>
      </c>
      <c r="F446" s="45">
        <v>46274</v>
      </c>
      <c r="G446" s="74"/>
      <c r="H446" s="73" t="s">
        <v>388</v>
      </c>
      <c r="I446" s="73"/>
    </row>
    <row r="447" spans="1:9" x14ac:dyDescent="0.25">
      <c r="A447" s="59"/>
      <c r="B447" s="61"/>
      <c r="C447" s="60"/>
      <c r="D447" s="60"/>
      <c r="E447" s="63"/>
      <c r="F447" s="64"/>
      <c r="G447" s="59"/>
      <c r="H447" s="65"/>
      <c r="I447" s="59"/>
    </row>
    <row r="448" spans="1:9" x14ac:dyDescent="0.25">
      <c r="A448" s="66">
        <v>77</v>
      </c>
      <c r="B448" s="70" t="s">
        <v>474</v>
      </c>
      <c r="C448" s="25" t="s">
        <v>275</v>
      </c>
      <c r="D448" s="72" t="s">
        <v>90</v>
      </c>
      <c r="E448" s="76" t="s">
        <v>62</v>
      </c>
      <c r="F448" s="45">
        <v>46150</v>
      </c>
      <c r="G448" s="46">
        <v>2.0830000000000002</v>
      </c>
      <c r="H448" s="73" t="s">
        <v>50</v>
      </c>
      <c r="I448" s="73"/>
    </row>
    <row r="449" spans="1:9" x14ac:dyDescent="0.25">
      <c r="A449" s="66"/>
      <c r="B449" s="70"/>
      <c r="C449" s="70"/>
      <c r="D449" s="72" t="s">
        <v>146</v>
      </c>
      <c r="E449" s="76" t="s">
        <v>62</v>
      </c>
      <c r="F449" s="45" t="s">
        <v>481</v>
      </c>
      <c r="G449" s="46">
        <v>2.5059999999999998</v>
      </c>
      <c r="H449" s="73" t="s">
        <v>50</v>
      </c>
      <c r="I449" s="73"/>
    </row>
    <row r="450" spans="1:9" x14ac:dyDescent="0.25">
      <c r="A450" s="66"/>
      <c r="B450" s="70"/>
      <c r="C450" s="70"/>
      <c r="D450" s="72" t="s">
        <v>497</v>
      </c>
      <c r="E450" s="76" t="s">
        <v>62</v>
      </c>
      <c r="F450" s="45" t="s">
        <v>485</v>
      </c>
      <c r="G450" s="46">
        <v>1.94</v>
      </c>
      <c r="H450" s="73" t="s">
        <v>50</v>
      </c>
      <c r="I450" s="73"/>
    </row>
    <row r="451" spans="1:9" x14ac:dyDescent="0.25">
      <c r="A451" s="66"/>
      <c r="B451" s="70"/>
      <c r="C451" s="70"/>
      <c r="D451" s="72" t="s">
        <v>200</v>
      </c>
      <c r="E451" s="76" t="s">
        <v>62</v>
      </c>
      <c r="F451" s="45" t="s">
        <v>530</v>
      </c>
      <c r="G451" s="46"/>
      <c r="H451" s="73" t="s">
        <v>50</v>
      </c>
      <c r="I451" s="73"/>
    </row>
    <row r="452" spans="1:9" x14ac:dyDescent="0.25">
      <c r="A452" s="59"/>
      <c r="B452" s="61"/>
      <c r="C452" s="60"/>
      <c r="D452" s="60"/>
      <c r="E452" s="63"/>
      <c r="F452" s="64"/>
      <c r="G452" s="59"/>
      <c r="H452" s="65"/>
      <c r="I452" s="59"/>
    </row>
    <row r="453" spans="1:9" x14ac:dyDescent="0.25">
      <c r="A453" s="66">
        <v>78</v>
      </c>
      <c r="B453" s="70" t="s">
        <v>482</v>
      </c>
      <c r="C453" s="25" t="s">
        <v>275</v>
      </c>
      <c r="D453" s="72" t="s">
        <v>484</v>
      </c>
      <c r="E453" s="76" t="s">
        <v>62</v>
      </c>
      <c r="F453" s="45" t="s">
        <v>481</v>
      </c>
      <c r="G453" s="97">
        <v>0.47299999999999998</v>
      </c>
      <c r="H453" s="73"/>
      <c r="I453" s="73"/>
    </row>
    <row r="454" spans="1:9" x14ac:dyDescent="0.25">
      <c r="A454" s="66"/>
      <c r="B454" s="70"/>
      <c r="C454" s="70"/>
      <c r="D454" s="72"/>
      <c r="E454" s="45"/>
      <c r="F454" s="45"/>
      <c r="G454" s="74"/>
      <c r="H454" s="73"/>
      <c r="I454" s="73"/>
    </row>
    <row r="455" spans="1:9" x14ac:dyDescent="0.25">
      <c r="A455" s="59"/>
      <c r="B455" s="61"/>
      <c r="C455" s="60"/>
      <c r="D455" s="60"/>
      <c r="E455" s="63"/>
      <c r="F455" s="64"/>
      <c r="G455" s="59"/>
      <c r="H455" s="65"/>
      <c r="I455" s="59"/>
    </row>
    <row r="456" spans="1:9" x14ac:dyDescent="0.25">
      <c r="A456" s="66">
        <v>79</v>
      </c>
      <c r="B456" s="70" t="s">
        <v>492</v>
      </c>
      <c r="C456" s="25" t="s">
        <v>275</v>
      </c>
      <c r="D456" s="72" t="s">
        <v>90</v>
      </c>
      <c r="E456" s="76" t="s">
        <v>62</v>
      </c>
      <c r="F456" s="45">
        <v>46334</v>
      </c>
      <c r="G456" s="97">
        <v>1.63</v>
      </c>
      <c r="H456" s="73" t="s">
        <v>17</v>
      </c>
      <c r="I456" s="73"/>
    </row>
    <row r="457" spans="1:9" x14ac:dyDescent="0.25">
      <c r="A457" s="66"/>
      <c r="B457" s="70"/>
      <c r="C457" s="70"/>
      <c r="D457" s="72" t="s">
        <v>265</v>
      </c>
      <c r="E457" s="76" t="s">
        <v>62</v>
      </c>
      <c r="F457" s="45" t="s">
        <v>486</v>
      </c>
      <c r="G457" s="97"/>
      <c r="H457" s="73" t="s">
        <v>16</v>
      </c>
      <c r="I457" s="73"/>
    </row>
    <row r="458" spans="1:9" x14ac:dyDescent="0.25">
      <c r="A458" s="66"/>
      <c r="B458" s="70"/>
      <c r="C458" s="70"/>
      <c r="D458" s="72" t="s">
        <v>266</v>
      </c>
      <c r="E458" s="76" t="s">
        <v>62</v>
      </c>
      <c r="F458" s="45" t="s">
        <v>459</v>
      </c>
      <c r="G458" s="97"/>
      <c r="H458" s="73" t="s">
        <v>16</v>
      </c>
      <c r="I458" s="73"/>
    </row>
    <row r="459" spans="1:9" x14ac:dyDescent="0.25">
      <c r="A459" s="59"/>
      <c r="B459" s="61"/>
      <c r="C459" s="60"/>
      <c r="D459" s="60"/>
      <c r="E459" s="63"/>
      <c r="F459" s="64"/>
      <c r="G459" s="59"/>
      <c r="H459" s="65"/>
      <c r="I459" s="59"/>
    </row>
    <row r="460" spans="1:9" x14ac:dyDescent="0.25">
      <c r="A460" s="66">
        <v>80</v>
      </c>
      <c r="B460" s="70" t="s">
        <v>493</v>
      </c>
      <c r="C460" s="25" t="s">
        <v>275</v>
      </c>
      <c r="D460" s="72" t="s">
        <v>90</v>
      </c>
      <c r="E460" s="76" t="s">
        <v>62</v>
      </c>
      <c r="F460" s="45" t="s">
        <v>530</v>
      </c>
      <c r="G460" s="74"/>
      <c r="H460" s="73" t="s">
        <v>503</v>
      </c>
      <c r="I460" s="73"/>
    </row>
    <row r="461" spans="1:9" x14ac:dyDescent="0.25">
      <c r="A461" s="66"/>
      <c r="B461" s="70"/>
      <c r="C461" s="70"/>
      <c r="D461" s="72" t="s">
        <v>265</v>
      </c>
      <c r="E461" s="76" t="s">
        <v>64</v>
      </c>
      <c r="F461" s="45">
        <v>46121</v>
      </c>
      <c r="G461" s="74"/>
      <c r="H461" s="73" t="s">
        <v>503</v>
      </c>
      <c r="I461" s="73"/>
    </row>
    <row r="462" spans="1:9" x14ac:dyDescent="0.25">
      <c r="A462" s="66"/>
      <c r="B462" s="70"/>
      <c r="C462" s="70"/>
      <c r="D462" s="72" t="s">
        <v>266</v>
      </c>
      <c r="E462" s="45" t="s">
        <v>166</v>
      </c>
      <c r="F462" s="45">
        <v>46121</v>
      </c>
      <c r="G462" s="74"/>
      <c r="H462" s="73"/>
      <c r="I462" s="73"/>
    </row>
    <row r="463" spans="1:9" x14ac:dyDescent="0.25">
      <c r="A463" s="59"/>
      <c r="B463" s="61"/>
      <c r="C463" s="60"/>
      <c r="D463" s="60"/>
      <c r="E463" s="63"/>
      <c r="F463" s="64"/>
      <c r="G463" s="59"/>
      <c r="H463" s="65"/>
      <c r="I463" s="59"/>
    </row>
    <row r="464" spans="1:9" x14ac:dyDescent="0.25">
      <c r="A464" s="66">
        <v>81</v>
      </c>
      <c r="B464" s="70" t="s">
        <v>494</v>
      </c>
      <c r="C464" s="25" t="s">
        <v>275</v>
      </c>
      <c r="D464" s="72" t="s">
        <v>29</v>
      </c>
      <c r="E464" s="76" t="s">
        <v>62</v>
      </c>
      <c r="F464" s="45" t="s">
        <v>524</v>
      </c>
      <c r="G464" s="74"/>
      <c r="H464" s="73" t="s">
        <v>504</v>
      </c>
      <c r="I464" s="73"/>
    </row>
    <row r="465" spans="1:9" s="112" customFormat="1" x14ac:dyDescent="0.25">
      <c r="A465" s="66"/>
      <c r="B465" s="70"/>
      <c r="C465" s="70"/>
      <c r="D465" s="72" t="s">
        <v>538</v>
      </c>
      <c r="E465" s="76" t="s">
        <v>64</v>
      </c>
      <c r="F465" s="45">
        <v>46062</v>
      </c>
      <c r="G465" s="74"/>
      <c r="H465" s="73" t="s">
        <v>504</v>
      </c>
      <c r="I465" s="73"/>
    </row>
    <row r="466" spans="1:9" x14ac:dyDescent="0.25">
      <c r="A466" s="66"/>
      <c r="B466" s="70"/>
      <c r="C466" s="70"/>
      <c r="D466" s="72" t="s">
        <v>265</v>
      </c>
      <c r="E466" s="45" t="s">
        <v>166</v>
      </c>
      <c r="F466" s="45">
        <v>46121</v>
      </c>
      <c r="G466" s="74"/>
      <c r="H466" s="73" t="s">
        <v>504</v>
      </c>
      <c r="I466" s="73"/>
    </row>
    <row r="467" spans="1:9" x14ac:dyDescent="0.25">
      <c r="A467" s="66"/>
      <c r="B467" s="70"/>
      <c r="C467" s="70"/>
      <c r="D467" s="72" t="s">
        <v>266</v>
      </c>
      <c r="E467" s="45" t="s">
        <v>166</v>
      </c>
      <c r="F467" s="45">
        <v>46274</v>
      </c>
      <c r="G467" s="74"/>
      <c r="H467" s="73" t="s">
        <v>504</v>
      </c>
      <c r="I467" s="73"/>
    </row>
    <row r="468" spans="1:9" x14ac:dyDescent="0.25">
      <c r="A468" s="59"/>
      <c r="B468" s="61"/>
      <c r="C468" s="60"/>
      <c r="D468" s="60"/>
      <c r="E468" s="63"/>
      <c r="F468" s="64"/>
      <c r="G468" s="59"/>
      <c r="H468" s="65"/>
      <c r="I468" s="59"/>
    </row>
    <row r="469" spans="1:9" x14ac:dyDescent="0.25">
      <c r="A469" s="66">
        <v>82</v>
      </c>
      <c r="B469" s="70" t="s">
        <v>496</v>
      </c>
      <c r="C469" s="25" t="s">
        <v>275</v>
      </c>
      <c r="D469" s="72" t="s">
        <v>90</v>
      </c>
      <c r="E469" s="76" t="s">
        <v>62</v>
      </c>
      <c r="F469" s="45" t="s">
        <v>487</v>
      </c>
      <c r="G469" s="74"/>
      <c r="H469" s="73" t="s">
        <v>505</v>
      </c>
      <c r="I469" s="73"/>
    </row>
    <row r="470" spans="1:9" x14ac:dyDescent="0.25">
      <c r="A470" s="66"/>
      <c r="B470" s="70"/>
      <c r="C470" s="70"/>
      <c r="D470" s="72" t="s">
        <v>490</v>
      </c>
      <c r="E470" s="76" t="s">
        <v>62</v>
      </c>
      <c r="F470" s="45" t="s">
        <v>487</v>
      </c>
      <c r="G470" s="74"/>
      <c r="H470" s="73"/>
      <c r="I470" s="73"/>
    </row>
    <row r="471" spans="1:9" x14ac:dyDescent="0.25">
      <c r="A471" s="59"/>
      <c r="B471" s="61"/>
      <c r="C471" s="60"/>
      <c r="D471" s="60"/>
      <c r="E471" s="63"/>
      <c r="F471" s="64"/>
      <c r="G471" s="59"/>
      <c r="H471" s="65"/>
      <c r="I471" s="59"/>
    </row>
    <row r="472" spans="1:9" x14ac:dyDescent="0.25">
      <c r="A472" s="66">
        <v>83</v>
      </c>
      <c r="B472" s="70" t="s">
        <v>521</v>
      </c>
      <c r="C472" s="25" t="s">
        <v>275</v>
      </c>
      <c r="D472" s="72" t="s">
        <v>90</v>
      </c>
      <c r="E472" s="76" t="s">
        <v>64</v>
      </c>
      <c r="F472" s="45">
        <v>46243</v>
      </c>
      <c r="G472" s="74"/>
      <c r="H472" s="73" t="s">
        <v>16</v>
      </c>
      <c r="I472" s="73"/>
    </row>
    <row r="473" spans="1:9" x14ac:dyDescent="0.25">
      <c r="A473" s="66"/>
      <c r="B473" s="70"/>
      <c r="C473" s="70"/>
      <c r="D473" s="72" t="s">
        <v>96</v>
      </c>
      <c r="E473" s="45" t="s">
        <v>166</v>
      </c>
      <c r="F473" s="45">
        <v>46243</v>
      </c>
      <c r="G473" s="74"/>
      <c r="H473" s="73"/>
      <c r="I473" s="73"/>
    </row>
    <row r="474" spans="1:9" x14ac:dyDescent="0.25">
      <c r="A474" s="66"/>
      <c r="B474" s="70"/>
      <c r="C474" s="70"/>
      <c r="D474" s="72" t="s">
        <v>522</v>
      </c>
      <c r="E474" s="45" t="s">
        <v>166</v>
      </c>
      <c r="F474" s="45">
        <v>46243</v>
      </c>
      <c r="G474" s="74"/>
      <c r="H474" s="73"/>
      <c r="I474" s="73"/>
    </row>
    <row r="475" spans="1:9" x14ac:dyDescent="0.25">
      <c r="A475" s="66"/>
      <c r="B475" s="70"/>
      <c r="C475" s="70"/>
      <c r="D475" s="72" t="s">
        <v>123</v>
      </c>
      <c r="E475" s="45" t="s">
        <v>166</v>
      </c>
      <c r="F475" s="45">
        <v>46243</v>
      </c>
      <c r="G475" s="74"/>
      <c r="H475" s="73"/>
      <c r="I475" s="73"/>
    </row>
    <row r="476" spans="1:9" x14ac:dyDescent="0.25">
      <c r="A476" s="59"/>
      <c r="B476" s="61"/>
      <c r="C476" s="60"/>
      <c r="D476" s="60"/>
      <c r="E476" s="63"/>
      <c r="F476" s="64"/>
      <c r="G476" s="59"/>
      <c r="H476" s="65"/>
      <c r="I476" s="59"/>
    </row>
    <row r="477" spans="1:9" x14ac:dyDescent="0.25">
      <c r="A477" s="66">
        <v>83</v>
      </c>
      <c r="B477" s="70" t="s">
        <v>523</v>
      </c>
      <c r="C477" s="25" t="s">
        <v>275</v>
      </c>
      <c r="D477" s="72" t="s">
        <v>29</v>
      </c>
      <c r="E477" s="76" t="s">
        <v>64</v>
      </c>
      <c r="F477" s="45" t="s">
        <v>524</v>
      </c>
      <c r="G477" s="74"/>
      <c r="H477" s="73" t="s">
        <v>388</v>
      </c>
      <c r="I477" s="73"/>
    </row>
    <row r="478" spans="1:9" x14ac:dyDescent="0.25">
      <c r="A478" s="66"/>
      <c r="B478" s="70"/>
      <c r="C478" s="70"/>
      <c r="D478" s="72" t="s">
        <v>53</v>
      </c>
      <c r="E478" s="45" t="s">
        <v>166</v>
      </c>
      <c r="F478" s="45">
        <v>46121</v>
      </c>
      <c r="G478" s="74"/>
      <c r="H478" s="73"/>
      <c r="I478" s="73"/>
    </row>
    <row r="479" spans="1:9" x14ac:dyDescent="0.25">
      <c r="A479" s="66"/>
      <c r="B479" s="70"/>
      <c r="C479" s="70"/>
      <c r="D479" s="72" t="s">
        <v>146</v>
      </c>
      <c r="E479" s="45" t="s">
        <v>166</v>
      </c>
      <c r="F479" s="45">
        <v>46335</v>
      </c>
      <c r="G479" s="74"/>
      <c r="H479" s="73"/>
      <c r="I479" s="73"/>
    </row>
    <row r="480" spans="1:9" x14ac:dyDescent="0.25">
      <c r="A480" s="66"/>
      <c r="B480" s="70"/>
      <c r="C480" s="70"/>
      <c r="D480" s="72" t="s">
        <v>373</v>
      </c>
      <c r="E480" s="45" t="s">
        <v>166</v>
      </c>
      <c r="F480" s="45">
        <v>46335</v>
      </c>
      <c r="G480" s="74"/>
      <c r="H480" s="73"/>
      <c r="I480" s="73"/>
    </row>
    <row r="481" spans="1:9" x14ac:dyDescent="0.25">
      <c r="A481" s="66"/>
      <c r="B481" s="70"/>
      <c r="C481" s="70"/>
      <c r="D481" s="72" t="s">
        <v>525</v>
      </c>
      <c r="E481" s="45" t="s">
        <v>166</v>
      </c>
      <c r="F481" s="45">
        <v>46335</v>
      </c>
      <c r="G481" s="74"/>
      <c r="H481" s="73"/>
      <c r="I481" s="73"/>
    </row>
    <row r="482" spans="1:9" x14ac:dyDescent="0.25">
      <c r="A482" s="66"/>
      <c r="B482" s="70"/>
      <c r="C482" s="70"/>
      <c r="D482" s="72" t="s">
        <v>526</v>
      </c>
      <c r="E482" s="45" t="s">
        <v>166</v>
      </c>
      <c r="F482" s="45">
        <v>46335</v>
      </c>
      <c r="G482" s="74"/>
      <c r="H482" s="73"/>
      <c r="I482" s="73"/>
    </row>
    <row r="483" spans="1:9" x14ac:dyDescent="0.25">
      <c r="A483" s="59"/>
      <c r="B483" s="61"/>
      <c r="C483" s="60"/>
      <c r="D483" s="60"/>
      <c r="E483" s="63"/>
      <c r="F483" s="64"/>
      <c r="G483" s="59"/>
      <c r="H483" s="65"/>
      <c r="I483" s="59"/>
    </row>
    <row r="484" spans="1:9" x14ac:dyDescent="0.25">
      <c r="A484" s="66">
        <v>84</v>
      </c>
      <c r="B484" s="70" t="s">
        <v>527</v>
      </c>
      <c r="C484" s="25" t="s">
        <v>275</v>
      </c>
      <c r="D484" s="72" t="s">
        <v>528</v>
      </c>
      <c r="E484" s="76" t="s">
        <v>64</v>
      </c>
      <c r="F484" s="45" t="s">
        <v>524</v>
      </c>
      <c r="G484" s="74"/>
      <c r="H484" s="73" t="s">
        <v>505</v>
      </c>
      <c r="I484" s="73"/>
    </row>
    <row r="485" spans="1:9" x14ac:dyDescent="0.25">
      <c r="A485" s="66"/>
      <c r="B485" s="70"/>
      <c r="C485" s="70"/>
      <c r="D485" s="72"/>
      <c r="E485" s="73"/>
      <c r="F485" s="73"/>
      <c r="G485" s="74"/>
      <c r="H485" s="73"/>
      <c r="I485" s="73"/>
    </row>
    <row r="486" spans="1:9" x14ac:dyDescent="0.25">
      <c r="A486" s="59"/>
      <c r="B486" s="61"/>
      <c r="C486" s="60"/>
      <c r="D486" s="60"/>
      <c r="E486" s="63"/>
      <c r="F486" s="64"/>
      <c r="G486" s="59"/>
      <c r="H486" s="65"/>
      <c r="I486" s="59"/>
    </row>
    <row r="487" spans="1:9" x14ac:dyDescent="0.25">
      <c r="A487" s="66">
        <v>85</v>
      </c>
      <c r="B487" s="70" t="s">
        <v>532</v>
      </c>
      <c r="C487" s="25" t="s">
        <v>275</v>
      </c>
      <c r="D487" s="72" t="s">
        <v>29</v>
      </c>
      <c r="E487" s="45" t="s">
        <v>166</v>
      </c>
      <c r="F487" s="73"/>
      <c r="G487" s="74"/>
      <c r="H487" s="73" t="s">
        <v>33</v>
      </c>
      <c r="I487" s="73"/>
    </row>
    <row r="488" spans="1:9" x14ac:dyDescent="0.25">
      <c r="A488" s="66"/>
      <c r="B488" s="70"/>
      <c r="C488" s="70"/>
      <c r="D488" s="72" t="s">
        <v>53</v>
      </c>
      <c r="E488" s="45" t="s">
        <v>166</v>
      </c>
      <c r="F488" s="73"/>
      <c r="G488" s="74"/>
      <c r="H488" s="73"/>
      <c r="I488" s="73"/>
    </row>
    <row r="489" spans="1:9" x14ac:dyDescent="0.25">
      <c r="A489" s="66"/>
      <c r="B489" s="70"/>
      <c r="C489" s="70"/>
      <c r="D489" s="72" t="s">
        <v>146</v>
      </c>
      <c r="E489" s="45" t="s">
        <v>166</v>
      </c>
      <c r="F489" s="73"/>
      <c r="G489" s="74"/>
      <c r="H489" s="73"/>
      <c r="I489" s="73"/>
    </row>
    <row r="490" spans="1:9" x14ac:dyDescent="0.25">
      <c r="A490" s="66"/>
      <c r="B490" s="70"/>
      <c r="C490" s="70"/>
      <c r="D490" s="72" t="s">
        <v>373</v>
      </c>
      <c r="E490" s="45" t="s">
        <v>166</v>
      </c>
      <c r="F490" s="73"/>
      <c r="G490" s="74"/>
      <c r="H490" s="73"/>
      <c r="I490" s="73"/>
    </row>
    <row r="491" spans="1:9" x14ac:dyDescent="0.25">
      <c r="A491" s="66"/>
      <c r="B491" s="70"/>
      <c r="C491" s="70"/>
      <c r="D491" s="72" t="s">
        <v>525</v>
      </c>
      <c r="E491" s="45" t="s">
        <v>166</v>
      </c>
      <c r="F491" s="73"/>
      <c r="G491" s="74"/>
      <c r="H491" s="73"/>
      <c r="I491" s="73"/>
    </row>
    <row r="492" spans="1:9" x14ac:dyDescent="0.25">
      <c r="A492" s="66"/>
      <c r="B492" s="70"/>
      <c r="C492" s="70"/>
      <c r="D492" s="72" t="s">
        <v>526</v>
      </c>
      <c r="E492" s="45" t="s">
        <v>166</v>
      </c>
      <c r="F492" s="73"/>
      <c r="G492" s="74"/>
      <c r="H492" s="73"/>
      <c r="I492" s="73"/>
    </row>
    <row r="493" spans="1:9" s="120" customFormat="1" x14ac:dyDescent="0.25">
      <c r="A493" s="66"/>
      <c r="B493" s="70"/>
      <c r="C493" s="70"/>
      <c r="D493" s="72"/>
      <c r="E493" s="73"/>
      <c r="F493" s="73"/>
      <c r="G493" s="74"/>
      <c r="H493" s="73"/>
      <c r="I493" s="73"/>
    </row>
    <row r="494" spans="1:9" x14ac:dyDescent="0.25">
      <c r="A494" s="66">
        <v>86</v>
      </c>
      <c r="B494" s="70" t="s">
        <v>550</v>
      </c>
      <c r="C494" s="25" t="s">
        <v>275</v>
      </c>
      <c r="D494" s="72" t="s">
        <v>335</v>
      </c>
      <c r="E494" s="76" t="s">
        <v>64</v>
      </c>
      <c r="F494" s="73"/>
      <c r="G494" s="74"/>
      <c r="H494" s="73"/>
      <c r="I494" s="73"/>
    </row>
    <row r="495" spans="1:9" s="112" customFormat="1" x14ac:dyDescent="0.25">
      <c r="A495" s="66"/>
      <c r="B495" s="70"/>
      <c r="C495" s="70"/>
      <c r="D495" s="72" t="s">
        <v>551</v>
      </c>
      <c r="E495" s="45" t="s">
        <v>166</v>
      </c>
      <c r="F495" s="73"/>
      <c r="G495" s="74"/>
      <c r="H495" s="73"/>
      <c r="I495" s="73"/>
    </row>
    <row r="496" spans="1:9" s="112" customFormat="1" x14ac:dyDescent="0.25">
      <c r="A496" s="66"/>
      <c r="B496" s="70"/>
      <c r="C496" s="70"/>
      <c r="D496" s="72"/>
      <c r="E496" s="73"/>
      <c r="F496" s="73"/>
      <c r="G496" s="74"/>
      <c r="H496" s="73"/>
      <c r="I496" s="73"/>
    </row>
    <row r="497" spans="1:9" s="112" customFormat="1" x14ac:dyDescent="0.25">
      <c r="A497" s="66"/>
      <c r="B497" s="70"/>
      <c r="C497" s="70"/>
      <c r="D497" s="72"/>
      <c r="E497" s="73"/>
      <c r="F497" s="73"/>
      <c r="G497" s="74"/>
      <c r="H497" s="73"/>
      <c r="I497" s="73"/>
    </row>
    <row r="498" spans="1:9" s="112" customFormat="1" x14ac:dyDescent="0.25">
      <c r="A498" s="66"/>
      <c r="B498" s="70"/>
      <c r="C498" s="70"/>
      <c r="D498" s="72"/>
      <c r="E498" s="73"/>
      <c r="F498" s="73"/>
      <c r="G498" s="74"/>
      <c r="H498" s="73"/>
      <c r="I498" s="73"/>
    </row>
    <row r="499" spans="1:9" s="112" customFormat="1" x14ac:dyDescent="0.25">
      <c r="A499" s="66"/>
      <c r="B499" s="70"/>
      <c r="C499" s="70"/>
      <c r="D499" s="72"/>
      <c r="E499" s="73"/>
      <c r="F499" s="73"/>
      <c r="G499" s="74"/>
      <c r="H499" s="73"/>
      <c r="I499" s="73"/>
    </row>
    <row r="500" spans="1:9" x14ac:dyDescent="0.25">
      <c r="A500" s="66"/>
      <c r="B500" s="70"/>
      <c r="C500" s="70"/>
      <c r="D500" s="72"/>
      <c r="E500" s="73"/>
      <c r="F500" s="73"/>
      <c r="G500" s="74"/>
      <c r="H500" s="73"/>
      <c r="I500" s="73"/>
    </row>
    <row r="501" spans="1:9" x14ac:dyDescent="0.25">
      <c r="A501" s="66"/>
      <c r="B501" s="70"/>
      <c r="C501" s="70"/>
      <c r="D501" s="72"/>
      <c r="E501" s="73"/>
      <c r="F501" s="73"/>
      <c r="G501" s="74"/>
      <c r="H501" s="73"/>
      <c r="I501" s="73"/>
    </row>
    <row r="502" spans="1:9" x14ac:dyDescent="0.25">
      <c r="A502" s="77"/>
      <c r="B502" s="78" t="s">
        <v>86</v>
      </c>
      <c r="C502" s="78"/>
      <c r="D502" s="78"/>
      <c r="E502" s="77"/>
      <c r="F502" s="77"/>
      <c r="G502" s="77"/>
      <c r="H502" s="79"/>
      <c r="I502" s="77"/>
    </row>
    <row r="503" spans="1:9" x14ac:dyDescent="0.25">
      <c r="A503" s="71">
        <v>1</v>
      </c>
      <c r="B503" s="80" t="s">
        <v>223</v>
      </c>
      <c r="C503" s="80" t="s">
        <v>224</v>
      </c>
      <c r="D503" s="81" t="s">
        <v>225</v>
      </c>
      <c r="E503" s="82" t="s">
        <v>62</v>
      </c>
      <c r="F503" s="82">
        <v>46208</v>
      </c>
      <c r="G503" s="55"/>
      <c r="H503" s="83" t="s">
        <v>50</v>
      </c>
      <c r="I503" s="55"/>
    </row>
    <row r="504" spans="1:9" x14ac:dyDescent="0.25">
      <c r="A504" s="71">
        <v>2</v>
      </c>
      <c r="B504" s="80" t="s">
        <v>47</v>
      </c>
      <c r="C504" s="80" t="s">
        <v>224</v>
      </c>
      <c r="D504" s="81" t="s">
        <v>226</v>
      </c>
      <c r="E504" s="82" t="s">
        <v>62</v>
      </c>
      <c r="F504" s="82">
        <v>46147</v>
      </c>
      <c r="G504" s="55"/>
      <c r="H504" s="83" t="s">
        <v>31</v>
      </c>
      <c r="I504" s="55"/>
    </row>
    <row r="505" spans="1:9" x14ac:dyDescent="0.25">
      <c r="A505" s="71">
        <v>3</v>
      </c>
      <c r="B505" s="80" t="s">
        <v>54</v>
      </c>
      <c r="C505" s="80" t="s">
        <v>224</v>
      </c>
      <c r="D505" s="81" t="s">
        <v>227</v>
      </c>
      <c r="E505" s="82" t="s">
        <v>62</v>
      </c>
      <c r="F505" s="82">
        <v>46147</v>
      </c>
      <c r="G505" s="55"/>
      <c r="H505" s="83" t="s">
        <v>16</v>
      </c>
      <c r="I505" s="55"/>
    </row>
    <row r="506" spans="1:9" x14ac:dyDescent="0.25">
      <c r="A506" s="71">
        <v>4</v>
      </c>
      <c r="B506" s="80" t="s">
        <v>48</v>
      </c>
      <c r="C506" s="80" t="s">
        <v>231</v>
      </c>
      <c r="D506" s="81" t="s">
        <v>232</v>
      </c>
      <c r="E506" s="82" t="s">
        <v>62</v>
      </c>
      <c r="F506" s="82">
        <v>46178</v>
      </c>
      <c r="G506" s="55"/>
      <c r="H506" s="83" t="s">
        <v>16</v>
      </c>
      <c r="I506" s="55"/>
    </row>
    <row r="507" spans="1:9" x14ac:dyDescent="0.25">
      <c r="A507" s="71">
        <v>5</v>
      </c>
      <c r="B507" s="80" t="s">
        <v>235</v>
      </c>
      <c r="C507" s="80" t="s">
        <v>231</v>
      </c>
      <c r="D507" s="81" t="s">
        <v>233</v>
      </c>
      <c r="E507" s="82" t="s">
        <v>62</v>
      </c>
      <c r="F507" s="82">
        <v>46208</v>
      </c>
      <c r="G507" s="55"/>
      <c r="H507" s="83" t="s">
        <v>234</v>
      </c>
      <c r="I507" s="55"/>
    </row>
    <row r="508" spans="1:9" x14ac:dyDescent="0.25">
      <c r="A508" s="71">
        <v>6</v>
      </c>
      <c r="B508" s="80" t="s">
        <v>195</v>
      </c>
      <c r="C508" s="80" t="s">
        <v>224</v>
      </c>
      <c r="D508" s="81" t="s">
        <v>236</v>
      </c>
      <c r="E508" s="82" t="s">
        <v>62</v>
      </c>
      <c r="F508" s="82">
        <v>46178</v>
      </c>
      <c r="G508" s="55"/>
      <c r="H508" s="83" t="s">
        <v>31</v>
      </c>
      <c r="I508" s="55"/>
    </row>
    <row r="509" spans="1:9" x14ac:dyDescent="0.25">
      <c r="A509" s="71">
        <v>7</v>
      </c>
      <c r="B509" s="80" t="s">
        <v>65</v>
      </c>
      <c r="C509" s="80" t="s">
        <v>224</v>
      </c>
      <c r="D509" s="81" t="s">
        <v>237</v>
      </c>
      <c r="E509" s="82" t="s">
        <v>62</v>
      </c>
      <c r="F509" s="82">
        <v>46208</v>
      </c>
      <c r="G509" s="55"/>
      <c r="H509" s="83" t="s">
        <v>31</v>
      </c>
      <c r="I509" s="55"/>
    </row>
    <row r="510" spans="1:9" x14ac:dyDescent="0.25">
      <c r="A510" s="71">
        <v>8</v>
      </c>
      <c r="B510" s="80" t="s">
        <v>238</v>
      </c>
      <c r="C510" s="80" t="s">
        <v>224</v>
      </c>
      <c r="D510" s="81" t="s">
        <v>239</v>
      </c>
      <c r="E510" s="82" t="s">
        <v>62</v>
      </c>
      <c r="F510" s="82">
        <v>46178</v>
      </c>
      <c r="G510" s="55"/>
      <c r="H510" s="83" t="s">
        <v>107</v>
      </c>
      <c r="I510" s="55"/>
    </row>
    <row r="511" spans="1:9" x14ac:dyDescent="0.25">
      <c r="A511" s="71">
        <v>9</v>
      </c>
      <c r="B511" s="80" t="s">
        <v>60</v>
      </c>
      <c r="C511" s="80" t="s">
        <v>231</v>
      </c>
      <c r="D511" s="81" t="s">
        <v>246</v>
      </c>
      <c r="E511" s="82" t="s">
        <v>62</v>
      </c>
      <c r="F511" s="82">
        <v>46239</v>
      </c>
      <c r="G511" s="55"/>
      <c r="H511" s="83" t="s">
        <v>31</v>
      </c>
      <c r="I511" s="55"/>
    </row>
    <row r="512" spans="1:9" x14ac:dyDescent="0.25">
      <c r="A512" s="71">
        <v>10</v>
      </c>
      <c r="B512" s="80" t="s">
        <v>247</v>
      </c>
      <c r="C512" s="80" t="s">
        <v>231</v>
      </c>
      <c r="D512" s="81" t="s">
        <v>248</v>
      </c>
      <c r="E512" s="82" t="s">
        <v>62</v>
      </c>
      <c r="F512" s="82">
        <v>46239</v>
      </c>
      <c r="G512" s="55"/>
      <c r="H512" s="83" t="s">
        <v>17</v>
      </c>
      <c r="I512" s="55"/>
    </row>
    <row r="513" spans="1:9" x14ac:dyDescent="0.25">
      <c r="A513" s="71">
        <v>11</v>
      </c>
      <c r="B513" s="80" t="s">
        <v>179</v>
      </c>
      <c r="C513" s="80" t="s">
        <v>224</v>
      </c>
      <c r="D513" s="81" t="s">
        <v>249</v>
      </c>
      <c r="E513" s="82" t="s">
        <v>62</v>
      </c>
      <c r="F513" s="82">
        <v>46239</v>
      </c>
      <c r="G513" s="55"/>
      <c r="H513" s="83" t="s">
        <v>35</v>
      </c>
      <c r="I513" s="55"/>
    </row>
    <row r="514" spans="1:9" x14ac:dyDescent="0.25">
      <c r="A514" s="71">
        <v>13</v>
      </c>
      <c r="B514" s="80" t="s">
        <v>162</v>
      </c>
      <c r="C514" s="80" t="s">
        <v>224</v>
      </c>
      <c r="D514" s="81" t="s">
        <v>257</v>
      </c>
      <c r="E514" s="82" t="s">
        <v>62</v>
      </c>
      <c r="F514" s="82">
        <v>46270</v>
      </c>
      <c r="G514" s="55"/>
      <c r="H514" s="83" t="s">
        <v>50</v>
      </c>
      <c r="I514" s="55"/>
    </row>
    <row r="515" spans="1:9" x14ac:dyDescent="0.25">
      <c r="A515" s="71">
        <v>14</v>
      </c>
      <c r="B515" s="80" t="s">
        <v>66</v>
      </c>
      <c r="C515" s="80" t="s">
        <v>224</v>
      </c>
      <c r="D515" s="81" t="s">
        <v>258</v>
      </c>
      <c r="E515" s="82" t="s">
        <v>62</v>
      </c>
      <c r="F515" s="82">
        <v>46270</v>
      </c>
      <c r="G515" s="55"/>
      <c r="H515" s="83" t="s">
        <v>50</v>
      </c>
      <c r="I515" s="55"/>
    </row>
    <row r="516" spans="1:9" x14ac:dyDescent="0.25">
      <c r="A516" s="71">
        <v>15</v>
      </c>
      <c r="B516" s="80" t="s">
        <v>65</v>
      </c>
      <c r="C516" s="80" t="s">
        <v>341</v>
      </c>
      <c r="D516" s="81" t="s">
        <v>342</v>
      </c>
      <c r="E516" s="82" t="s">
        <v>62</v>
      </c>
      <c r="F516" s="82">
        <v>46270</v>
      </c>
      <c r="G516" s="55"/>
      <c r="H516" s="83" t="s">
        <v>50</v>
      </c>
      <c r="I516" s="55"/>
    </row>
    <row r="517" spans="1:9" x14ac:dyDescent="0.25">
      <c r="A517" s="71">
        <v>16</v>
      </c>
      <c r="B517" s="80" t="s">
        <v>47</v>
      </c>
      <c r="C517" s="80" t="s">
        <v>224</v>
      </c>
      <c r="D517" s="81" t="s">
        <v>352</v>
      </c>
      <c r="E517" s="82" t="s">
        <v>62</v>
      </c>
      <c r="F517" s="82" t="s">
        <v>284</v>
      </c>
      <c r="G517" s="55"/>
      <c r="H517" s="83"/>
      <c r="I517" s="55"/>
    </row>
    <row r="518" spans="1:9" x14ac:dyDescent="0.25">
      <c r="A518" s="71">
        <v>17</v>
      </c>
      <c r="B518" s="80" t="s">
        <v>65</v>
      </c>
      <c r="C518" s="80" t="s">
        <v>224</v>
      </c>
      <c r="D518" s="81" t="s">
        <v>343</v>
      </c>
      <c r="E518" s="82" t="s">
        <v>62</v>
      </c>
      <c r="F518" s="82" t="s">
        <v>267</v>
      </c>
      <c r="G518" s="55"/>
      <c r="H518" s="83" t="s">
        <v>50</v>
      </c>
      <c r="I518" s="55"/>
    </row>
    <row r="519" spans="1:9" x14ac:dyDescent="0.25">
      <c r="A519" s="71">
        <v>18</v>
      </c>
      <c r="B519" s="80" t="s">
        <v>344</v>
      </c>
      <c r="C519" s="80" t="s">
        <v>224</v>
      </c>
      <c r="D519" s="81" t="s">
        <v>345</v>
      </c>
      <c r="E519" s="82" t="s">
        <v>62</v>
      </c>
      <c r="F519" s="82" t="s">
        <v>271</v>
      </c>
      <c r="G519" s="55"/>
      <c r="H519" s="83"/>
      <c r="I519" s="55"/>
    </row>
    <row r="520" spans="1:9" x14ac:dyDescent="0.25">
      <c r="A520" s="71">
        <v>19</v>
      </c>
      <c r="B520" s="80" t="s">
        <v>195</v>
      </c>
      <c r="C520" s="80" t="s">
        <v>224</v>
      </c>
      <c r="D520" s="81" t="s">
        <v>351</v>
      </c>
      <c r="E520" s="82" t="s">
        <v>62</v>
      </c>
      <c r="F520" s="82" t="s">
        <v>284</v>
      </c>
      <c r="G520" s="55"/>
      <c r="H520" s="83"/>
      <c r="I520" s="55"/>
    </row>
    <row r="521" spans="1:9" x14ac:dyDescent="0.25">
      <c r="A521" s="71">
        <v>20</v>
      </c>
      <c r="B521" s="80" t="s">
        <v>223</v>
      </c>
      <c r="C521" s="80" t="s">
        <v>224</v>
      </c>
      <c r="D521" s="81" t="s">
        <v>346</v>
      </c>
      <c r="E521" s="82" t="s">
        <v>62</v>
      </c>
      <c r="F521" s="82" t="s">
        <v>271</v>
      </c>
      <c r="G521" s="55"/>
      <c r="H521" s="83"/>
      <c r="I521" s="55"/>
    </row>
    <row r="522" spans="1:9" x14ac:dyDescent="0.25">
      <c r="A522" s="71">
        <v>21</v>
      </c>
      <c r="B522" s="80" t="s">
        <v>344</v>
      </c>
      <c r="C522" s="80" t="s">
        <v>231</v>
      </c>
      <c r="D522" s="81" t="s">
        <v>347</v>
      </c>
      <c r="E522" s="82" t="s">
        <v>62</v>
      </c>
      <c r="F522" s="82" t="s">
        <v>284</v>
      </c>
      <c r="G522" s="55"/>
      <c r="H522" s="83"/>
      <c r="I522" s="55"/>
    </row>
    <row r="523" spans="1:9" x14ac:dyDescent="0.25">
      <c r="A523" s="71">
        <v>22</v>
      </c>
      <c r="B523" s="80" t="s">
        <v>358</v>
      </c>
      <c r="C523" s="80" t="s">
        <v>224</v>
      </c>
      <c r="D523" s="81" t="s">
        <v>359</v>
      </c>
      <c r="E523" s="82" t="s">
        <v>62</v>
      </c>
      <c r="F523" s="82" t="s">
        <v>271</v>
      </c>
      <c r="G523" s="55"/>
      <c r="H523" s="83"/>
      <c r="I523" s="55"/>
    </row>
    <row r="524" spans="1:9" x14ac:dyDescent="0.25">
      <c r="A524" s="71">
        <v>23</v>
      </c>
      <c r="B524" s="80" t="s">
        <v>195</v>
      </c>
      <c r="C524" s="80" t="s">
        <v>224</v>
      </c>
      <c r="D524" s="81" t="s">
        <v>348</v>
      </c>
      <c r="E524" s="82" t="s">
        <v>62</v>
      </c>
      <c r="F524" s="82"/>
      <c r="G524" s="55"/>
      <c r="H524" s="83"/>
      <c r="I524" s="55"/>
    </row>
    <row r="525" spans="1:9" x14ac:dyDescent="0.25">
      <c r="A525" s="71">
        <v>24</v>
      </c>
      <c r="B525" s="80" t="s">
        <v>349</v>
      </c>
      <c r="C525" s="80" t="s">
        <v>224</v>
      </c>
      <c r="D525" s="81" t="s">
        <v>350</v>
      </c>
      <c r="E525" s="82" t="s">
        <v>62</v>
      </c>
      <c r="F525" s="82" t="s">
        <v>285</v>
      </c>
      <c r="G525" s="55"/>
      <c r="H525" s="83"/>
      <c r="I525" s="55"/>
    </row>
    <row r="526" spans="1:9" x14ac:dyDescent="0.25">
      <c r="A526" s="71">
        <v>25</v>
      </c>
      <c r="B526" s="80" t="s">
        <v>355</v>
      </c>
      <c r="C526" s="80" t="s">
        <v>224</v>
      </c>
      <c r="D526" s="81" t="s">
        <v>356</v>
      </c>
      <c r="E526" s="82" t="s">
        <v>62</v>
      </c>
      <c r="F526" s="82" t="s">
        <v>285</v>
      </c>
      <c r="G526" s="55"/>
      <c r="H526" s="83"/>
      <c r="I526" s="55"/>
    </row>
    <row r="527" spans="1:9" x14ac:dyDescent="0.25">
      <c r="A527" s="71">
        <v>26</v>
      </c>
      <c r="B527" s="80" t="s">
        <v>160</v>
      </c>
      <c r="C527" s="80" t="s">
        <v>353</v>
      </c>
      <c r="D527" s="81" t="s">
        <v>354</v>
      </c>
      <c r="E527" s="82" t="s">
        <v>62</v>
      </c>
      <c r="F527" s="82"/>
      <c r="G527" s="55"/>
      <c r="H527" s="83"/>
      <c r="I527" s="55"/>
    </row>
    <row r="528" spans="1:9" x14ac:dyDescent="0.25">
      <c r="A528" s="71">
        <v>27</v>
      </c>
      <c r="B528" s="80" t="s">
        <v>60</v>
      </c>
      <c r="C528" s="80" t="s">
        <v>339</v>
      </c>
      <c r="D528" s="81" t="s">
        <v>340</v>
      </c>
      <c r="E528" s="82" t="s">
        <v>62</v>
      </c>
      <c r="F528" s="82" t="s">
        <v>268</v>
      </c>
      <c r="G528" s="55"/>
      <c r="H528" s="83"/>
      <c r="I528" s="55"/>
    </row>
    <row r="529" spans="1:9" x14ac:dyDescent="0.25">
      <c r="A529" s="71">
        <v>28</v>
      </c>
      <c r="B529" s="80" t="s">
        <v>355</v>
      </c>
      <c r="C529" s="80" t="s">
        <v>224</v>
      </c>
      <c r="D529" s="81" t="s">
        <v>357</v>
      </c>
      <c r="E529" s="82" t="s">
        <v>62</v>
      </c>
      <c r="F529" s="82" t="s">
        <v>279</v>
      </c>
      <c r="G529" s="55"/>
      <c r="H529" s="83"/>
      <c r="I529" s="55"/>
    </row>
    <row r="530" spans="1:9" x14ac:dyDescent="0.25">
      <c r="A530" s="71">
        <v>29</v>
      </c>
      <c r="B530" s="80" t="s">
        <v>358</v>
      </c>
      <c r="C530" s="80" t="s">
        <v>224</v>
      </c>
      <c r="D530" s="81" t="s">
        <v>359</v>
      </c>
      <c r="E530" s="82" t="s">
        <v>62</v>
      </c>
      <c r="F530" s="82" t="s">
        <v>338</v>
      </c>
      <c r="G530" s="55"/>
      <c r="H530" s="83"/>
      <c r="I530" s="55"/>
    </row>
    <row r="531" spans="1:9" x14ac:dyDescent="0.25">
      <c r="A531" s="71">
        <v>30</v>
      </c>
      <c r="B531" s="80" t="s">
        <v>360</v>
      </c>
      <c r="C531" s="80" t="s">
        <v>339</v>
      </c>
      <c r="D531" s="81" t="s">
        <v>361</v>
      </c>
      <c r="E531" s="82" t="s">
        <v>62</v>
      </c>
      <c r="F531" s="82" t="s">
        <v>366</v>
      </c>
      <c r="G531" s="55"/>
      <c r="H531" s="83"/>
      <c r="I531" s="55"/>
    </row>
    <row r="532" spans="1:9" x14ac:dyDescent="0.25">
      <c r="A532" s="71">
        <v>31</v>
      </c>
      <c r="B532" s="80" t="s">
        <v>65</v>
      </c>
      <c r="C532" s="80" t="s">
        <v>231</v>
      </c>
      <c r="D532" s="81" t="s">
        <v>362</v>
      </c>
      <c r="E532" s="82" t="s">
        <v>62</v>
      </c>
      <c r="F532" s="82" t="s">
        <v>268</v>
      </c>
      <c r="G532" s="55"/>
      <c r="H532" s="83"/>
      <c r="I532" s="55"/>
    </row>
    <row r="533" spans="1:9" x14ac:dyDescent="0.25">
      <c r="A533" s="71">
        <v>32</v>
      </c>
      <c r="B533" s="80" t="s">
        <v>48</v>
      </c>
      <c r="C533" s="80" t="s">
        <v>224</v>
      </c>
      <c r="D533" s="81" t="s">
        <v>363</v>
      </c>
      <c r="E533" s="82" t="s">
        <v>62</v>
      </c>
      <c r="F533" s="82" t="s">
        <v>364</v>
      </c>
      <c r="G533" s="55"/>
      <c r="H533" s="83"/>
      <c r="I533" s="55"/>
    </row>
    <row r="534" spans="1:9" x14ac:dyDescent="0.25">
      <c r="A534" s="71">
        <v>33</v>
      </c>
      <c r="B534" s="80" t="s">
        <v>47</v>
      </c>
      <c r="C534" s="80" t="s">
        <v>224</v>
      </c>
      <c r="D534" s="81" t="s">
        <v>365</v>
      </c>
      <c r="E534" s="82" t="s">
        <v>62</v>
      </c>
      <c r="F534" s="82" t="s">
        <v>366</v>
      </c>
      <c r="G534" s="55"/>
      <c r="H534" s="83"/>
      <c r="I534" s="55"/>
    </row>
    <row r="535" spans="1:9" x14ac:dyDescent="0.25">
      <c r="A535" s="71">
        <v>34</v>
      </c>
      <c r="B535" s="80" t="s">
        <v>47</v>
      </c>
      <c r="C535" s="80" t="s">
        <v>224</v>
      </c>
      <c r="D535" s="81" t="s">
        <v>367</v>
      </c>
      <c r="E535" s="82" t="s">
        <v>62</v>
      </c>
      <c r="F535" s="82" t="s">
        <v>366</v>
      </c>
      <c r="G535" s="55"/>
      <c r="H535" s="83"/>
      <c r="I535" s="55"/>
    </row>
    <row r="536" spans="1:9" x14ac:dyDescent="0.25">
      <c r="A536" s="71">
        <v>35</v>
      </c>
      <c r="B536" s="80" t="s">
        <v>46</v>
      </c>
      <c r="C536" s="80" t="s">
        <v>224</v>
      </c>
      <c r="D536" s="81" t="s">
        <v>368</v>
      </c>
      <c r="E536" s="82" t="s">
        <v>62</v>
      </c>
      <c r="F536" s="82" t="s">
        <v>366</v>
      </c>
      <c r="G536" s="55"/>
      <c r="H536" s="83"/>
      <c r="I536" s="55"/>
    </row>
    <row r="537" spans="1:9" x14ac:dyDescent="0.25">
      <c r="A537" s="71">
        <v>36</v>
      </c>
      <c r="B537" s="80" t="s">
        <v>369</v>
      </c>
      <c r="C537" s="80" t="s">
        <v>231</v>
      </c>
      <c r="D537" s="81" t="s">
        <v>370</v>
      </c>
      <c r="E537" s="82" t="s">
        <v>62</v>
      </c>
      <c r="F537" s="82" t="s">
        <v>366</v>
      </c>
      <c r="G537" s="55"/>
      <c r="H537" s="83"/>
      <c r="I537" s="55"/>
    </row>
    <row r="538" spans="1:9" x14ac:dyDescent="0.25">
      <c r="A538" s="71">
        <v>37</v>
      </c>
      <c r="B538" s="80" t="s">
        <v>498</v>
      </c>
      <c r="C538" s="80" t="s">
        <v>224</v>
      </c>
      <c r="D538" s="81" t="s">
        <v>499</v>
      </c>
      <c r="E538" s="82" t="s">
        <v>62</v>
      </c>
      <c r="F538" s="82" t="s">
        <v>486</v>
      </c>
      <c r="G538" s="55"/>
      <c r="H538" s="83" t="s">
        <v>50</v>
      </c>
      <c r="I538" s="55"/>
    </row>
    <row r="539" spans="1:9" x14ac:dyDescent="0.25">
      <c r="A539" s="71">
        <v>38</v>
      </c>
      <c r="B539" s="80" t="s">
        <v>79</v>
      </c>
      <c r="C539" s="80" t="s">
        <v>224</v>
      </c>
      <c r="D539" s="81" t="s">
        <v>513</v>
      </c>
      <c r="E539" s="82" t="s">
        <v>62</v>
      </c>
      <c r="F539" s="82" t="s">
        <v>486</v>
      </c>
      <c r="G539" s="55"/>
      <c r="H539" s="83"/>
      <c r="I539" s="55"/>
    </row>
    <row r="540" spans="1:9" x14ac:dyDescent="0.25">
      <c r="A540" s="71">
        <v>39</v>
      </c>
      <c r="B540" s="80" t="s">
        <v>514</v>
      </c>
      <c r="C540" s="80" t="s">
        <v>515</v>
      </c>
      <c r="D540" s="81" t="s">
        <v>516</v>
      </c>
      <c r="E540" s="82" t="s">
        <v>62</v>
      </c>
      <c r="F540" s="82" t="s">
        <v>500</v>
      </c>
      <c r="G540" s="55"/>
      <c r="H540" s="83"/>
      <c r="I540" s="55"/>
    </row>
    <row r="541" spans="1:9" x14ac:dyDescent="0.25">
      <c r="A541" s="71">
        <v>40</v>
      </c>
      <c r="B541" s="80" t="s">
        <v>517</v>
      </c>
      <c r="C541" s="80" t="s">
        <v>231</v>
      </c>
      <c r="D541" s="81" t="s">
        <v>518</v>
      </c>
      <c r="E541" s="82" t="s">
        <v>62</v>
      </c>
      <c r="F541" s="82" t="s">
        <v>536</v>
      </c>
      <c r="G541" s="55"/>
      <c r="H541" s="83"/>
      <c r="I541" s="55"/>
    </row>
    <row r="542" spans="1:9" x14ac:dyDescent="0.25">
      <c r="A542" s="71">
        <v>41</v>
      </c>
      <c r="B542" s="80" t="s">
        <v>453</v>
      </c>
      <c r="C542" s="80" t="s">
        <v>231</v>
      </c>
      <c r="D542" s="80" t="s">
        <v>520</v>
      </c>
      <c r="E542" s="82" t="s">
        <v>62</v>
      </c>
      <c r="F542" s="82" t="s">
        <v>502</v>
      </c>
      <c r="G542" s="55"/>
      <c r="H542" s="83"/>
      <c r="I542" s="55"/>
    </row>
    <row r="543" spans="1:9" x14ac:dyDescent="0.25">
      <c r="A543" s="105">
        <v>42</v>
      </c>
      <c r="B543" s="80" t="s">
        <v>498</v>
      </c>
      <c r="C543" s="80" t="s">
        <v>231</v>
      </c>
      <c r="D543" s="106" t="s">
        <v>519</v>
      </c>
      <c r="E543" s="82" t="s">
        <v>62</v>
      </c>
      <c r="F543" s="82" t="s">
        <v>536</v>
      </c>
      <c r="G543" s="109"/>
      <c r="H543" s="110"/>
      <c r="I543" s="108"/>
    </row>
    <row r="544" spans="1:9" x14ac:dyDescent="0.25">
      <c r="A544" s="105">
        <v>43</v>
      </c>
      <c r="B544" s="111" t="s">
        <v>492</v>
      </c>
      <c r="C544" s="80" t="s">
        <v>224</v>
      </c>
      <c r="D544" s="81" t="s">
        <v>529</v>
      </c>
      <c r="E544" s="82" t="s">
        <v>62</v>
      </c>
      <c r="F544" s="82" t="s">
        <v>495</v>
      </c>
      <c r="G544" s="109"/>
      <c r="H544" s="110"/>
      <c r="I544" s="108"/>
    </row>
    <row r="545" spans="1:11" x14ac:dyDescent="0.25">
      <c r="A545" s="105">
        <v>44</v>
      </c>
      <c r="B545" s="111" t="s">
        <v>453</v>
      </c>
      <c r="C545" s="80" t="s">
        <v>224</v>
      </c>
      <c r="D545" s="80" t="s">
        <v>520</v>
      </c>
      <c r="E545" s="82" t="s">
        <v>62</v>
      </c>
      <c r="F545" s="82" t="s">
        <v>530</v>
      </c>
      <c r="G545" s="109"/>
      <c r="H545" s="110"/>
      <c r="I545" s="108"/>
    </row>
    <row r="546" spans="1:11" x14ac:dyDescent="0.25">
      <c r="A546" s="105">
        <v>45</v>
      </c>
      <c r="B546" s="111" t="s">
        <v>429</v>
      </c>
      <c r="C546" s="80" t="s">
        <v>224</v>
      </c>
      <c r="D546" s="106" t="s">
        <v>531</v>
      </c>
      <c r="E546" s="82" t="s">
        <v>62</v>
      </c>
      <c r="F546" s="82" t="s">
        <v>495</v>
      </c>
      <c r="G546" s="109"/>
      <c r="H546" s="110"/>
      <c r="I546" s="108"/>
    </row>
    <row r="547" spans="1:11" x14ac:dyDescent="0.25">
      <c r="A547" s="105">
        <v>46</v>
      </c>
      <c r="B547" s="111" t="s">
        <v>533</v>
      </c>
      <c r="C547" s="80" t="s">
        <v>231</v>
      </c>
      <c r="D547" s="106" t="s">
        <v>534</v>
      </c>
      <c r="E547" s="82" t="s">
        <v>62</v>
      </c>
      <c r="F547" s="82" t="s">
        <v>536</v>
      </c>
      <c r="G547" s="109"/>
      <c r="H547" s="110"/>
      <c r="I547" s="108"/>
    </row>
    <row r="548" spans="1:11" s="112" customFormat="1" x14ac:dyDescent="0.25">
      <c r="A548" s="105">
        <v>47</v>
      </c>
      <c r="B548" s="111" t="s">
        <v>334</v>
      </c>
      <c r="C548" s="80" t="s">
        <v>224</v>
      </c>
      <c r="D548" s="106" t="s">
        <v>535</v>
      </c>
      <c r="E548" s="82" t="s">
        <v>62</v>
      </c>
      <c r="F548" s="82" t="s">
        <v>524</v>
      </c>
      <c r="G548" s="109"/>
      <c r="H548" s="110"/>
      <c r="I548" s="108"/>
    </row>
    <row r="549" spans="1:11" s="112" customFormat="1" x14ac:dyDescent="0.25">
      <c r="A549" s="105">
        <v>48</v>
      </c>
      <c r="B549" s="111" t="s">
        <v>79</v>
      </c>
      <c r="C549" s="80" t="s">
        <v>224</v>
      </c>
      <c r="D549" s="106" t="s">
        <v>540</v>
      </c>
      <c r="E549" s="82" t="s">
        <v>62</v>
      </c>
      <c r="F549" s="82">
        <v>46031</v>
      </c>
      <c r="G549" s="109"/>
      <c r="H549" s="110"/>
      <c r="I549" s="108"/>
    </row>
    <row r="550" spans="1:11" s="112" customFormat="1" x14ac:dyDescent="0.25">
      <c r="A550" s="105">
        <v>49</v>
      </c>
      <c r="B550" s="80" t="s">
        <v>517</v>
      </c>
      <c r="C550" s="80" t="s">
        <v>224</v>
      </c>
      <c r="D550" s="81" t="s">
        <v>518</v>
      </c>
      <c r="E550" s="82" t="s">
        <v>62</v>
      </c>
      <c r="F550" s="82">
        <v>46031</v>
      </c>
      <c r="G550" s="109"/>
      <c r="H550" s="110"/>
      <c r="I550" s="108"/>
    </row>
    <row r="551" spans="1:11" s="112" customFormat="1" x14ac:dyDescent="0.25">
      <c r="A551" s="105">
        <v>50</v>
      </c>
      <c r="B551" s="111" t="s">
        <v>498</v>
      </c>
      <c r="C551" s="80" t="s">
        <v>231</v>
      </c>
      <c r="D551" s="106" t="s">
        <v>323</v>
      </c>
      <c r="E551" s="82" t="s">
        <v>62</v>
      </c>
      <c r="F551" s="82">
        <v>46031</v>
      </c>
      <c r="G551" s="109"/>
      <c r="H551" s="110"/>
      <c r="I551" s="108"/>
    </row>
    <row r="552" spans="1:11" s="112" customFormat="1" x14ac:dyDescent="0.25">
      <c r="A552" s="105"/>
      <c r="B552" s="111"/>
      <c r="C552" s="118" t="s">
        <v>231</v>
      </c>
      <c r="D552" s="106" t="s">
        <v>541</v>
      </c>
      <c r="E552" s="82" t="s">
        <v>62</v>
      </c>
      <c r="F552" s="82">
        <v>46031</v>
      </c>
      <c r="G552" s="109"/>
      <c r="H552" s="110"/>
      <c r="I552" s="108"/>
    </row>
    <row r="553" spans="1:11" s="112" customFormat="1" x14ac:dyDescent="0.25">
      <c r="A553" s="105"/>
      <c r="B553" s="111"/>
      <c r="C553" s="80" t="s">
        <v>224</v>
      </c>
      <c r="D553" s="106" t="s">
        <v>543</v>
      </c>
      <c r="E553" s="76" t="s">
        <v>64</v>
      </c>
      <c r="F553" s="107"/>
      <c r="G553" s="109"/>
      <c r="H553" s="110"/>
      <c r="I553" s="108"/>
    </row>
    <row r="554" spans="1:11" s="113" customFormat="1" x14ac:dyDescent="0.25">
      <c r="A554" s="105"/>
      <c r="B554" s="111"/>
      <c r="C554" s="118" t="s">
        <v>231</v>
      </c>
      <c r="D554" s="106" t="s">
        <v>542</v>
      </c>
      <c r="E554" s="76" t="s">
        <v>64</v>
      </c>
      <c r="F554" s="107"/>
      <c r="G554" s="109"/>
      <c r="H554" s="110"/>
      <c r="I554" s="108"/>
    </row>
    <row r="555" spans="1:11" s="113" customFormat="1" x14ac:dyDescent="0.25">
      <c r="A555" s="105"/>
      <c r="B555" s="111"/>
      <c r="C555" s="118" t="s">
        <v>231</v>
      </c>
      <c r="D555" s="106" t="s">
        <v>544</v>
      </c>
      <c r="E555" s="76" t="s">
        <v>64</v>
      </c>
      <c r="F555" s="107"/>
      <c r="G555" s="109"/>
      <c r="H555" s="110"/>
      <c r="I555" s="108"/>
    </row>
    <row r="556" spans="1:11" s="113" customFormat="1" x14ac:dyDescent="0.25">
      <c r="A556" s="105">
        <v>51</v>
      </c>
      <c r="B556" s="111" t="s">
        <v>449</v>
      </c>
      <c r="C556" s="118" t="s">
        <v>231</v>
      </c>
      <c r="D556" s="106" t="s">
        <v>545</v>
      </c>
      <c r="E556" s="76" t="s">
        <v>64</v>
      </c>
      <c r="F556" s="107"/>
      <c r="G556" s="109"/>
      <c r="H556" s="110"/>
      <c r="I556" s="108"/>
    </row>
    <row r="557" spans="1:11" s="117" customFormat="1" x14ac:dyDescent="0.25">
      <c r="A557" s="105"/>
      <c r="B557" s="111"/>
      <c r="C557" s="119"/>
      <c r="D557" s="106" t="s">
        <v>547</v>
      </c>
      <c r="E557" s="76" t="s">
        <v>64</v>
      </c>
      <c r="F557" s="107"/>
      <c r="G557" s="109"/>
      <c r="H557" s="110"/>
      <c r="I557" s="108"/>
    </row>
    <row r="558" spans="1:11" s="113" customFormat="1" x14ac:dyDescent="0.25">
      <c r="A558" s="105">
        <v>52</v>
      </c>
      <c r="B558" s="111" t="s">
        <v>47</v>
      </c>
      <c r="C558" s="80" t="s">
        <v>224</v>
      </c>
      <c r="D558" s="106" t="s">
        <v>546</v>
      </c>
      <c r="E558" s="82" t="s">
        <v>62</v>
      </c>
      <c r="F558" s="82">
        <v>46062</v>
      </c>
      <c r="G558" s="109"/>
      <c r="H558" s="110"/>
      <c r="I558" s="108"/>
    </row>
    <row r="559" spans="1:11" s="113" customFormat="1" x14ac:dyDescent="0.25">
      <c r="A559" s="105">
        <v>53</v>
      </c>
      <c r="B559" s="111" t="s">
        <v>195</v>
      </c>
      <c r="C559" s="118" t="s">
        <v>548</v>
      </c>
      <c r="D559" s="106" t="s">
        <v>549</v>
      </c>
      <c r="E559" s="82" t="s">
        <v>62</v>
      </c>
      <c r="F559" s="82">
        <v>46121</v>
      </c>
      <c r="G559" s="109"/>
      <c r="H559" s="110"/>
      <c r="I559" s="108"/>
    </row>
    <row r="560" spans="1:11" s="112" customFormat="1" x14ac:dyDescent="0.25">
      <c r="A560" s="114"/>
      <c r="B560" s="102"/>
      <c r="C560" s="102"/>
      <c r="D560" s="80"/>
      <c r="E560" s="82"/>
      <c r="F560" s="115"/>
      <c r="G560" s="116"/>
      <c r="H560" s="116"/>
      <c r="I560" s="103"/>
      <c r="J560" s="104"/>
      <c r="K560" s="103"/>
    </row>
    <row r="561" spans="1:11" x14ac:dyDescent="0.25">
      <c r="A561" s="84"/>
      <c r="B561" s="85"/>
      <c r="C561" s="85"/>
      <c r="D561" s="85"/>
      <c r="E561" s="84"/>
      <c r="F561" s="84"/>
      <c r="G561" s="84"/>
      <c r="H561" s="84"/>
      <c r="I561" s="84"/>
      <c r="J561" s="86"/>
      <c r="K561" s="84"/>
    </row>
    <row r="562" spans="1:11" x14ac:dyDescent="0.25">
      <c r="A562" s="87"/>
      <c r="B562" s="88"/>
      <c r="C562" s="88"/>
      <c r="D562" s="88"/>
      <c r="E562" s="89"/>
      <c r="F562" s="89"/>
      <c r="G562" s="90"/>
      <c r="H562" s="91" t="s">
        <v>87</v>
      </c>
      <c r="I562" s="90"/>
      <c r="J562" s="90"/>
      <c r="K562" s="87"/>
    </row>
    <row r="563" spans="1:11" ht="19.5" thickBot="1" x14ac:dyDescent="0.3">
      <c r="A563" s="154" t="s">
        <v>88</v>
      </c>
      <c r="B563" s="155"/>
      <c r="C563" s="156"/>
      <c r="D563" s="156"/>
      <c r="E563" s="156"/>
      <c r="F563" s="156"/>
      <c r="G563" s="156"/>
      <c r="H563" s="156"/>
      <c r="I563" s="156"/>
      <c r="J563" s="156"/>
      <c r="K563" s="157"/>
    </row>
    <row r="567" spans="1:11" x14ac:dyDescent="0.25">
      <c r="B567" s="149"/>
      <c r="C567" s="149"/>
    </row>
    <row r="568" spans="1:11" x14ac:dyDescent="0.25">
      <c r="B568" s="149"/>
      <c r="C568" s="149"/>
    </row>
    <row r="569" spans="1:11" x14ac:dyDescent="0.25">
      <c r="B569" s="149"/>
      <c r="C569" s="149"/>
    </row>
    <row r="570" spans="1:11" x14ac:dyDescent="0.25">
      <c r="B570" s="149"/>
      <c r="C570" s="149"/>
    </row>
    <row r="571" spans="1:11" x14ac:dyDescent="0.25">
      <c r="B571" s="149"/>
      <c r="C571" s="149"/>
    </row>
    <row r="572" spans="1:11" x14ac:dyDescent="0.25">
      <c r="B572" s="149"/>
      <c r="C572" s="149"/>
    </row>
    <row r="573" spans="1:11" x14ac:dyDescent="0.25">
      <c r="B573" s="149"/>
      <c r="C573" s="149"/>
    </row>
    <row r="574" spans="1:11" x14ac:dyDescent="0.25">
      <c r="B574" s="149"/>
      <c r="C574" s="149"/>
    </row>
    <row r="575" spans="1:11" x14ac:dyDescent="0.25">
      <c r="B575" s="149"/>
      <c r="C575" s="149"/>
    </row>
    <row r="576" spans="1:11" x14ac:dyDescent="0.25">
      <c r="B576" s="149"/>
      <c r="C576" s="149"/>
    </row>
    <row r="577" spans="2:3" x14ac:dyDescent="0.25">
      <c r="B577" s="149"/>
      <c r="C577" s="149"/>
    </row>
    <row r="578" spans="2:3" x14ac:dyDescent="0.25">
      <c r="B578" s="149"/>
      <c r="C578" s="149"/>
    </row>
    <row r="579" spans="2:3" x14ac:dyDescent="0.25">
      <c r="B579" s="149"/>
      <c r="C579" s="149"/>
    </row>
    <row r="580" spans="2:3" x14ac:dyDescent="0.25">
      <c r="B580" s="149"/>
      <c r="C580" s="149"/>
    </row>
    <row r="581" spans="2:3" x14ac:dyDescent="0.25">
      <c r="B581" s="149"/>
      <c r="C581" s="149"/>
    </row>
    <row r="582" spans="2:3" x14ac:dyDescent="0.25">
      <c r="B582" s="149"/>
      <c r="C582" s="149"/>
    </row>
    <row r="583" spans="2:3" x14ac:dyDescent="0.25">
      <c r="B583" s="149"/>
      <c r="C583" s="149"/>
    </row>
    <row r="584" spans="2:3" x14ac:dyDescent="0.25">
      <c r="B584" s="149"/>
      <c r="C584" s="149"/>
    </row>
    <row r="585" spans="2:3" x14ac:dyDescent="0.25">
      <c r="B585" s="149"/>
      <c r="C585" s="149"/>
    </row>
    <row r="586" spans="2:3" x14ac:dyDescent="0.25">
      <c r="B586" s="149"/>
      <c r="C586" s="149"/>
    </row>
    <row r="587" spans="2:3" x14ac:dyDescent="0.25">
      <c r="B587" s="149"/>
      <c r="C587" s="149"/>
    </row>
    <row r="589" spans="2:3" x14ac:dyDescent="0.25">
      <c r="B589" s="149"/>
      <c r="C589" s="149"/>
    </row>
    <row r="592" spans="2:3" x14ac:dyDescent="0.25">
      <c r="B592" s="149"/>
      <c r="C592" s="149"/>
    </row>
    <row r="593" spans="2:3" x14ac:dyDescent="0.25">
      <c r="B593" s="149"/>
      <c r="C593" s="149"/>
    </row>
    <row r="594" spans="2:3" x14ac:dyDescent="0.25">
      <c r="B594" s="149"/>
      <c r="C594" s="149"/>
    </row>
    <row r="595" spans="2:3" x14ac:dyDescent="0.25">
      <c r="B595" s="149"/>
      <c r="C595" s="149"/>
    </row>
    <row r="598" spans="2:3" x14ac:dyDescent="0.25">
      <c r="B598" s="149"/>
      <c r="C598" s="149"/>
    </row>
    <row r="599" spans="2:3" x14ac:dyDescent="0.25">
      <c r="B599" s="149"/>
      <c r="C599" s="149"/>
    </row>
    <row r="600" spans="2:3" x14ac:dyDescent="0.25">
      <c r="B600" s="149"/>
      <c r="C600" s="149"/>
    </row>
    <row r="603" spans="2:3" x14ac:dyDescent="0.25">
      <c r="B603" s="149"/>
      <c r="C603" s="149"/>
    </row>
    <row r="604" spans="2:3" x14ac:dyDescent="0.25">
      <c r="B604" s="149"/>
      <c r="C604" s="149"/>
    </row>
  </sheetData>
  <mergeCells count="34">
    <mergeCell ref="C1:D1"/>
    <mergeCell ref="E1:K1"/>
    <mergeCell ref="A563:K563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9:C589"/>
    <mergeCell ref="B592:C592"/>
    <mergeCell ref="B593:C593"/>
    <mergeCell ref="B594:C594"/>
    <mergeCell ref="B604:C604"/>
    <mergeCell ref="B595:C595"/>
    <mergeCell ref="B598:C598"/>
    <mergeCell ref="B599:C599"/>
    <mergeCell ref="B600:C600"/>
    <mergeCell ref="B603:C603"/>
  </mergeCells>
  <conditionalFormatting sqref="A560:K561 A563:K563">
    <cfRule type="expression" priority="2133">
      <formula>SEARCH("BILLING DONE", $B560) &gt; 0</formula>
    </cfRule>
    <cfRule type="expression" dxfId="252" priority="2134">
      <formula>SEARCH("NOT BILLED", $B560) &gt; 0</formula>
    </cfRule>
  </conditionalFormatting>
  <conditionalFormatting sqref="E82:E84 I130 B130:C132 I348 A550 A551:B552 A553:C553 A554:B557 A558:C559 G348 F553:F557 G197 G257:G261 G318:G329 I255 G262:H265 G332:I347 G351:I402 G550:I559 G266:I302 H3:I128 H146:I149 H196 I196:I253 H129:H132 B46 B51 B54 B57 B65 B68 B72 B77 B82 B86 B89 E89:E91 B93 B97 B107 B110 E110:E111 B113 E113:E116 B118 B123 E123:E124 B126 B136 B140 B144 B146 B151 A156:B156 A160:B160 E160:E164 A166:B166 A169:B169 A172:B172 A175:B175 A179:B179 A182:B183 A3:A151 G152:I187 A195:C195 I259:I265 G305:I305 G308:I311 H314:I330 G331:H331 E551 D556:D559 A188:I193 E257:E261 E335:E336 E339:E340 E344:E345 E348 A351:E352 A354:E356 A358:E361 A363:E364 A366:E367 A369:E370 A372:E375 A377:E379 A381:E381 A383:E384 A386:E387 A389:E392 A401:E402 A394:E399 E333:F334 E337:F338 E341:F343 E346:F347 A353:F353 A357:F357 A362:F362 A365:F365 A368:F368 A371:F371 A257:D348 E262:F263 E274:F286 E318:F319 E321:F322 E324:F325 E327:F328 E130:G130 E132:G132 A349:I350 A376:F376 A380:F380 A382:F382 A385:F385 A388:F388 A393:F393 A400:F400 C550:F550 D146:G146 B147:G149 A155:F155 D156:F156 A157:F157 A159:F159 D160:F160 A161:F165 D166:F166 A167:F168 D169:F169 A170:F171 D172:F172 A173:F174 A178:F178 D179:F179 A180:F181 D182:F183 A184:F185 A254:G255 E297:F298 E300:F301 E309:F310 B66:G67 B3:G15 C16:G19 B20:G20 C21:G24 B25:G42 D43:G43 B44:G45 D46:G46 B47:G50 D51:G51 B52:G53 D54:G54 B55:G56 D57:G57 B58:G64 D65:G65 D68:G68 B69:G71 D72:G72 B73:G76 D77:G77 B78:G81 D82:G82 B83:G85 D86:G86 B87:G88 D89:G89 B90:G92 D93:G93 B94:G96 D97:G97 B98:G106 D107:G107 B108:G109 D110:G110 B111:G112 D113:G113 B114:G117 D118:G118 B119:G122 D123:G123 B124:G125 D126:G126 B127:G129 E315:G315 E330:G330 E131:I131 A198:H253 A256:I256 A403:I549 B133:I135 D136:I136 B137:I139 D140:I140 B141:I143 D144:I144 B145:I145 B150:I150 D151:I151 E303:I304 E306:I307 E312:I313 A152:E154 A158:E158 D175:E175 A176:E177 A186:E187 A194:E194 A196:E197 E264:E273 E287:E296 E299 E302 E305 E308 E311 E314 E332">
    <cfRule type="expression" priority="2931">
      <formula>SEARCH("BILLING DONE", #REF!) &gt; 0</formula>
    </cfRule>
    <cfRule type="expression" dxfId="251" priority="2932">
      <formula>SEARCH("NOT BILLED", #REF!) &gt; 0</formula>
    </cfRule>
  </conditionalFormatting>
  <conditionalFormatting sqref="E126:E127">
    <cfRule type="expression" priority="2129">
      <formula>SEARCH("BILLING DONE", #REF!) &gt; 0</formula>
    </cfRule>
    <cfRule type="expression" dxfId="250" priority="2130">
      <formula>SEARCH("NOT BILLED", #REF!) &gt; 0</formula>
    </cfRule>
  </conditionalFormatting>
  <conditionalFormatting sqref="B16:B19">
    <cfRule type="expression" priority="2131">
      <formula>SEARCH("BILLING DONE", #REF!) &gt; 0</formula>
    </cfRule>
    <cfRule type="expression" dxfId="249" priority="2132">
      <formula>SEARCH("NOT BILLED", #REF!) &gt; 0</formula>
    </cfRule>
  </conditionalFormatting>
  <conditionalFormatting sqref="B21:B24">
    <cfRule type="expression" priority="2127">
      <formula>SEARCH("BILLING DONE", #REF!) &gt; 0</formula>
    </cfRule>
    <cfRule type="expression" dxfId="248" priority="2128">
      <formula>SEARCH("NOT BILLED", #REF!) &gt; 0</formula>
    </cfRule>
  </conditionalFormatting>
  <conditionalFormatting sqref="B43">
    <cfRule type="expression" priority="2051">
      <formula>SEARCH("BILLING DONE", #REF!) &gt; 0</formula>
    </cfRule>
    <cfRule type="expression" dxfId="247" priority="2052">
      <formula>SEARCH("NOT BILLED", #REF!) &gt; 0</formula>
    </cfRule>
  </conditionalFormatting>
  <conditionalFormatting sqref="C43">
    <cfRule type="expression" priority="2123">
      <formula>SEARCH("BILLING DONE", #REF!) &gt; 0</formula>
    </cfRule>
    <cfRule type="expression" dxfId="246" priority="2124">
      <formula>SEARCH("NOT BILLED", #REF!) &gt; 0</formula>
    </cfRule>
  </conditionalFormatting>
  <conditionalFormatting sqref="C46">
    <cfRule type="expression" priority="2119">
      <formula>SEARCH("BILLING DONE", #REF!) &gt; 0</formula>
    </cfRule>
    <cfRule type="expression" dxfId="245" priority="2120">
      <formula>SEARCH("NOT BILLED", #REF!) &gt; 0</formula>
    </cfRule>
  </conditionalFormatting>
  <conditionalFormatting sqref="C51">
    <cfRule type="expression" priority="2199">
      <formula>SEARCH("BILLING DONE", #REF!) &gt; 0</formula>
    </cfRule>
    <cfRule type="expression" dxfId="244" priority="2200">
      <formula>SEARCH("NOT BILLED", #REF!) &gt; 0</formula>
    </cfRule>
  </conditionalFormatting>
  <conditionalFormatting sqref="C54">
    <cfRule type="expression" priority="2117">
      <formula>SEARCH("BILLING DONE", #REF!) &gt; 0</formula>
    </cfRule>
    <cfRule type="expression" dxfId="243" priority="2118">
      <formula>SEARCH("NOT BILLED", #REF!) &gt; 0</formula>
    </cfRule>
  </conditionalFormatting>
  <conditionalFormatting sqref="C57">
    <cfRule type="expression" priority="2115">
      <formula>SEARCH("BILLING DONE", #REF!) &gt; 0</formula>
    </cfRule>
    <cfRule type="expression" dxfId="242" priority="2116">
      <formula>SEARCH("NOT BILLED", #REF!) &gt; 0</formula>
    </cfRule>
  </conditionalFormatting>
  <conditionalFormatting sqref="C65">
    <cfRule type="expression" priority="2113">
      <formula>SEARCH("BILLING DONE", #REF!) &gt; 0</formula>
    </cfRule>
    <cfRule type="expression" dxfId="241" priority="2114">
      <formula>SEARCH("NOT BILLED", #REF!) &gt; 0</formula>
    </cfRule>
  </conditionalFormatting>
  <conditionalFormatting sqref="C68">
    <cfRule type="expression" priority="2111">
      <formula>SEARCH("BILLING DONE", #REF!) &gt; 0</formula>
    </cfRule>
    <cfRule type="expression" dxfId="240" priority="2112">
      <formula>SEARCH("NOT BILLED", #REF!) &gt; 0</formula>
    </cfRule>
  </conditionalFormatting>
  <conditionalFormatting sqref="C72">
    <cfRule type="expression" priority="2109">
      <formula>SEARCH("BILLING DONE", #REF!) &gt; 0</formula>
    </cfRule>
    <cfRule type="expression" dxfId="239" priority="2110">
      <formula>SEARCH("NOT BILLED", #REF!) &gt; 0</formula>
    </cfRule>
  </conditionalFormatting>
  <conditionalFormatting sqref="C77">
    <cfRule type="expression" priority="2107">
      <formula>SEARCH("BILLING DONE", #REF!) &gt; 0</formula>
    </cfRule>
    <cfRule type="expression" dxfId="238" priority="2108">
      <formula>SEARCH("NOT BILLED", #REF!) &gt; 0</formula>
    </cfRule>
  </conditionalFormatting>
  <conditionalFormatting sqref="C82">
    <cfRule type="expression" priority="2105">
      <formula>SEARCH("BILLING DONE", #REF!) &gt; 0</formula>
    </cfRule>
    <cfRule type="expression" dxfId="237" priority="2106">
      <formula>SEARCH("NOT BILLED", #REF!) &gt; 0</formula>
    </cfRule>
  </conditionalFormatting>
  <conditionalFormatting sqref="C86">
    <cfRule type="expression" priority="2195">
      <formula>SEARCH("BILLING DONE", #REF!) &gt; 0</formula>
    </cfRule>
    <cfRule type="expression" dxfId="236" priority="2196">
      <formula>SEARCH("NOT BILLED", #REF!) &gt; 0</formula>
    </cfRule>
  </conditionalFormatting>
  <conditionalFormatting sqref="C89">
    <cfRule type="expression" priority="2103">
      <formula>SEARCH("BILLING DONE", #REF!) &gt; 0</formula>
    </cfRule>
    <cfRule type="expression" dxfId="235" priority="2104">
      <formula>SEARCH("NOT BILLED", #REF!) &gt; 0</formula>
    </cfRule>
  </conditionalFormatting>
  <conditionalFormatting sqref="C93">
    <cfRule type="expression" priority="2101">
      <formula>SEARCH("BILLING DONE", #REF!) &gt; 0</formula>
    </cfRule>
    <cfRule type="expression" dxfId="234" priority="2102">
      <formula>SEARCH("NOT BILLED", #REF!) &gt; 0</formula>
    </cfRule>
  </conditionalFormatting>
  <conditionalFormatting sqref="C97">
    <cfRule type="expression" priority="2099">
      <formula>SEARCH("BILLING DONE", #REF!) &gt; 0</formula>
    </cfRule>
    <cfRule type="expression" dxfId="233" priority="2100">
      <formula>SEARCH("NOT BILLED", #REF!) &gt; 0</formula>
    </cfRule>
  </conditionalFormatting>
  <conditionalFormatting sqref="C107">
    <cfRule type="expression" priority="2097">
      <formula>SEARCH("BILLING DONE", #REF!) &gt; 0</formula>
    </cfRule>
    <cfRule type="expression" dxfId="232" priority="2098">
      <formula>SEARCH("NOT BILLED", #REF!) &gt; 0</formula>
    </cfRule>
  </conditionalFormatting>
  <conditionalFormatting sqref="C110">
    <cfRule type="expression" priority="2095">
      <formula>SEARCH("BILLING DONE", #REF!) &gt; 0</formula>
    </cfRule>
    <cfRule type="expression" dxfId="231" priority="2096">
      <formula>SEARCH("NOT BILLED", #REF!) &gt; 0</formula>
    </cfRule>
  </conditionalFormatting>
  <conditionalFormatting sqref="C113">
    <cfRule type="expression" priority="2093">
      <formula>SEARCH("BILLING DONE", #REF!) &gt; 0</formula>
    </cfRule>
    <cfRule type="expression" dxfId="230" priority="2094">
      <formula>SEARCH("NOT BILLED", #REF!) &gt; 0</formula>
    </cfRule>
  </conditionalFormatting>
  <conditionalFormatting sqref="C118">
    <cfRule type="expression" priority="2091">
      <formula>SEARCH("BILLING DONE", #REF!) &gt; 0</formula>
    </cfRule>
    <cfRule type="expression" dxfId="229" priority="2092">
      <formula>SEARCH("NOT BILLED", #REF!) &gt; 0</formula>
    </cfRule>
  </conditionalFormatting>
  <conditionalFormatting sqref="C123">
    <cfRule type="expression" priority="2089">
      <formula>SEARCH("BILLING DONE", #REF!) &gt; 0</formula>
    </cfRule>
    <cfRule type="expression" dxfId="228" priority="2090">
      <formula>SEARCH("NOT BILLED", #REF!) &gt; 0</formula>
    </cfRule>
  </conditionalFormatting>
  <conditionalFormatting sqref="C126">
    <cfRule type="expression" priority="2087">
      <formula>SEARCH("BILLING DONE", #REF!) &gt; 0</formula>
    </cfRule>
    <cfRule type="expression" dxfId="227" priority="2088">
      <formula>SEARCH("NOT BILLED", #REF!) &gt; 0</formula>
    </cfRule>
  </conditionalFormatting>
  <conditionalFormatting sqref="C136">
    <cfRule type="expression" priority="2085">
      <formula>SEARCH("BILLING DONE", #REF!) &gt; 0</formula>
    </cfRule>
    <cfRule type="expression" dxfId="226" priority="2086">
      <formula>SEARCH("NOT BILLED", #REF!) &gt; 0</formula>
    </cfRule>
  </conditionalFormatting>
  <conditionalFormatting sqref="C140">
    <cfRule type="expression" priority="2059">
      <formula>SEARCH("BILLING DONE", #REF!) &gt; 0</formula>
    </cfRule>
    <cfRule type="expression" dxfId="225" priority="2060">
      <formula>SEARCH("NOT BILLED", #REF!) &gt; 0</formula>
    </cfRule>
  </conditionalFormatting>
  <conditionalFormatting sqref="C144">
    <cfRule type="expression" priority="2079">
      <formula>SEARCH("BILLING DONE", #REF!) &gt; 0</formula>
    </cfRule>
    <cfRule type="expression" dxfId="224" priority="2080">
      <formula>SEARCH("NOT BILLED", #REF!) &gt; 0</formula>
    </cfRule>
  </conditionalFormatting>
  <conditionalFormatting sqref="C146">
    <cfRule type="expression" priority="2077">
      <formula>SEARCH("BILLING DONE", #REF!) &gt; 0</formula>
    </cfRule>
    <cfRule type="expression" dxfId="223" priority="2078">
      <formula>SEARCH("NOT BILLED", #REF!) &gt; 0</formula>
    </cfRule>
  </conditionalFormatting>
  <conditionalFormatting sqref="C151">
    <cfRule type="expression" priority="2075">
      <formula>SEARCH("BILLING DONE", #REF!) &gt; 0</formula>
    </cfRule>
    <cfRule type="expression" dxfId="222" priority="2076">
      <formula>SEARCH("NOT BILLED", #REF!) &gt; 0</formula>
    </cfRule>
  </conditionalFormatting>
  <conditionalFormatting sqref="C156">
    <cfRule type="expression" priority="2073">
      <formula>SEARCH("BILLING DONE", #REF!) &gt; 0</formula>
    </cfRule>
    <cfRule type="expression" dxfId="221" priority="2074">
      <formula>SEARCH("NOT BILLED", #REF!) &gt; 0</formula>
    </cfRule>
  </conditionalFormatting>
  <conditionalFormatting sqref="C160">
    <cfRule type="expression" priority="2057">
      <formula>SEARCH("BILLING DONE", #REF!) &gt; 0</formula>
    </cfRule>
    <cfRule type="expression" dxfId="220" priority="2058">
      <formula>SEARCH("NOT BILLED", #REF!) &gt; 0</formula>
    </cfRule>
  </conditionalFormatting>
  <conditionalFormatting sqref="C166">
    <cfRule type="expression" priority="2071">
      <formula>SEARCH("BILLING DONE", #REF!) &gt; 0</formula>
    </cfRule>
    <cfRule type="expression" dxfId="219" priority="2072">
      <formula>SEARCH("NOT BILLED", #REF!) &gt; 0</formula>
    </cfRule>
  </conditionalFormatting>
  <conditionalFormatting sqref="C169">
    <cfRule type="expression" priority="2069">
      <formula>SEARCH("BILLING DONE", #REF!) &gt; 0</formula>
    </cfRule>
    <cfRule type="expression" dxfId="218" priority="2070">
      <formula>SEARCH("NOT BILLED", #REF!) &gt; 0</formula>
    </cfRule>
  </conditionalFormatting>
  <conditionalFormatting sqref="C172">
    <cfRule type="expression" priority="2067">
      <formula>SEARCH("BILLING DONE", #REF!) &gt; 0</formula>
    </cfRule>
    <cfRule type="expression" dxfId="217" priority="2068">
      <formula>SEARCH("NOT BILLED", #REF!) &gt; 0</formula>
    </cfRule>
  </conditionalFormatting>
  <conditionalFormatting sqref="C175">
    <cfRule type="expression" priority="2065">
      <formula>SEARCH("BILLING DONE", #REF!) &gt; 0</formula>
    </cfRule>
    <cfRule type="expression" dxfId="216" priority="2066">
      <formula>SEARCH("NOT BILLED", #REF!) &gt; 0</formula>
    </cfRule>
  </conditionalFormatting>
  <conditionalFormatting sqref="C179">
    <cfRule type="expression" priority="2063">
      <formula>SEARCH("BILLING DONE", #REF!) &gt; 0</formula>
    </cfRule>
    <cfRule type="expression" dxfId="215" priority="2064">
      <formula>SEARCH("NOT BILLED", #REF!) &gt; 0</formula>
    </cfRule>
  </conditionalFormatting>
  <conditionalFormatting sqref="C182:C183">
    <cfRule type="expression" priority="2061">
      <formula>SEARCH("BILLING DONE", #REF!) &gt; 0</formula>
    </cfRule>
    <cfRule type="expression" dxfId="214" priority="2062">
      <formula>SEARCH("NOT BILLED", #REF!) &gt; 0</formula>
    </cfRule>
  </conditionalFormatting>
  <conditionalFormatting sqref="D130:D132">
    <cfRule type="expression" priority="1687">
      <formula>SEARCH("BILLING DONE", #REF!) &gt; 0</formula>
    </cfRule>
    <cfRule type="expression" dxfId="213" priority="1688">
      <formula>SEARCH("NOT BILLED", #REF!) &gt; 0</formula>
    </cfRule>
  </conditionalFormatting>
  <conditionalFormatting sqref="E562">
    <cfRule type="containsText" dxfId="212" priority="3187" operator="containsText" text="COMPLETED">
      <formula>NOT(ISERROR(SEARCH("COMPLETED",E562)))</formula>
    </cfRule>
    <cfRule type="containsText" dxfId="211" priority="3188" operator="containsText" text="HOLD">
      <formula>NOT(ISERROR(SEARCH("HOLD",E562)))</formula>
    </cfRule>
    <cfRule type="containsText" dxfId="210" priority="3189" operator="containsText" text="NOT YET STARTED">
      <formula>NOT(ISERROR(SEARCH("NOT YET STARTED",E562)))</formula>
    </cfRule>
    <cfRule type="containsText" dxfId="209" priority="3190" operator="containsText" text="IN PROGRESS">
      <formula>NOT(ISERROR(SEARCH("IN PROGRESS",E562)))</formula>
    </cfRule>
  </conditionalFormatting>
  <conditionalFormatting sqref="E2">
    <cfRule type="containsText" dxfId="208" priority="3191" operator="containsText" text="HOLD">
      <formula>NOT(ISERROR(SEARCH("HOLD",F2)))</formula>
    </cfRule>
    <cfRule type="containsText" dxfId="207" priority="3192" operator="containsText" text="IN PROGRESS">
      <formula>NOT(ISERROR(SEARCH("IN PROGRESS",E2)))</formula>
    </cfRule>
  </conditionalFormatting>
  <conditionalFormatting sqref="E2:E72">
    <cfRule type="containsText" dxfId="206" priority="3193" operator="containsText" text="NOT YET STARTED">
      <formula>NOT(ISERROR(SEARCH("NOT YET STARTED",E2)))</formula>
    </cfRule>
  </conditionalFormatting>
  <conditionalFormatting sqref="E3:E72">
    <cfRule type="containsText" dxfId="205" priority="3203" operator="containsText" text="IN PROGRESS">
      <formula>NOT(ISERROR(SEARCH("IN PROGRESS",E3)))</formula>
    </cfRule>
  </conditionalFormatting>
  <conditionalFormatting sqref="B502 F560 E3:E551">
    <cfRule type="containsText" dxfId="204" priority="2209" operator="containsText" text="COMPLETED">
      <formula>NOT(ISERROR(SEARCH("COMPLETED",B3)))</formula>
    </cfRule>
    <cfRule type="containsText" dxfId="203" priority="2210" operator="containsText" text="HOLD">
      <formula>NOT(ISERROR(SEARCH("HOLD",B3)))</formula>
    </cfRule>
  </conditionalFormatting>
  <conditionalFormatting sqref="B502 F560 E73:E550">
    <cfRule type="containsText" dxfId="202" priority="2211" operator="containsText" text="NOT YET STARTED">
      <formula>NOT(ISERROR(SEARCH("NOT YET STARTED",B73)))</formula>
    </cfRule>
    <cfRule type="containsText" dxfId="201" priority="2212" operator="containsText" text="IN PROGRESS">
      <formula>NOT(ISERROR(SEARCH("IN PROGRESS",B73)))</formula>
    </cfRule>
  </conditionalFormatting>
  <conditionalFormatting sqref="E74:E75">
    <cfRule type="containsText" dxfId="200" priority="2007" operator="containsText" text="COMPLETED">
      <formula>NOT(ISERROR(SEARCH("COMPLETED",E74)))</formula>
    </cfRule>
    <cfRule type="containsText" dxfId="199" priority="2008" operator="containsText" text="HOLD">
      <formula>NOT(ISERROR(SEARCH("HOLD",E74)))</formula>
    </cfRule>
    <cfRule type="containsText" dxfId="198" priority="2009" operator="containsText" text="NOT YET STARTED">
      <formula>NOT(ISERROR(SEARCH("NOT YET STARTED",E74)))</formula>
    </cfRule>
    <cfRule type="containsText" dxfId="197" priority="2010" operator="containsText" text="IN PROGRESS">
      <formula>NOT(ISERROR(SEARCH("IN PROGRESS",E74)))</formula>
    </cfRule>
  </conditionalFormatting>
  <conditionalFormatting sqref="E101">
    <cfRule type="containsText" dxfId="196" priority="1855" operator="containsText" text="COMPLETED">
      <formula>NOT(ISERROR(SEARCH("COMPLETED",E101)))</formula>
    </cfRule>
    <cfRule type="containsText" dxfId="195" priority="1856" operator="containsText" text="HOLD">
      <formula>NOT(ISERROR(SEARCH("HOLD",E101)))</formula>
    </cfRule>
    <cfRule type="containsText" dxfId="194" priority="1857" operator="containsText" text="NOT YET STARTED">
      <formula>NOT(ISERROR(SEARCH("NOT YET STARTED",E101)))</formula>
    </cfRule>
    <cfRule type="containsText" dxfId="193" priority="1858" operator="containsText" text="IN PROGRESS">
      <formula>NOT(ISERROR(SEARCH("IN PROGRESS",E101)))</formula>
    </cfRule>
  </conditionalFormatting>
  <conditionalFormatting sqref="E299">
    <cfRule type="expression" priority="449">
      <formula>SEARCH("BILLING DONE", #REF!) &gt; 0</formula>
    </cfRule>
    <cfRule type="expression" dxfId="192" priority="450">
      <formula>SEARCH("NOT BILLED", #REF!) &gt; 0</formula>
    </cfRule>
  </conditionalFormatting>
  <conditionalFormatting sqref="E308">
    <cfRule type="expression" priority="447">
      <formula>SEARCH("BILLING DONE", #REF!) &gt; 0</formula>
    </cfRule>
    <cfRule type="expression" dxfId="191" priority="448">
      <formula>SEARCH("NOT BILLED", #REF!) &gt; 0</formula>
    </cfRule>
  </conditionalFormatting>
  <conditionalFormatting sqref="E311">
    <cfRule type="expression" priority="445">
      <formula>SEARCH("BILLING DONE", #REF!) &gt; 0</formula>
    </cfRule>
    <cfRule type="expression" dxfId="190" priority="446">
      <formula>SEARCH("NOT BILLED", #REF!) &gt; 0</formula>
    </cfRule>
  </conditionalFormatting>
  <conditionalFormatting sqref="E316:E317 G316:G317">
    <cfRule type="expression" priority="379">
      <formula>SEARCH("BILLING DONE", #REF!) &gt; 0</formula>
    </cfRule>
    <cfRule type="expression" dxfId="189" priority="380">
      <formula>SEARCH("NOT BILLED", #REF!) &gt; 0</formula>
    </cfRule>
  </conditionalFormatting>
  <conditionalFormatting sqref="E320">
    <cfRule type="expression" priority="415">
      <formula>SEARCH("BILLING DONE", #REF!) &gt; 0</formula>
    </cfRule>
    <cfRule type="expression" dxfId="188" priority="416">
      <formula>SEARCH("NOT BILLED", #REF!) &gt; 0</formula>
    </cfRule>
  </conditionalFormatting>
  <conditionalFormatting sqref="E323">
    <cfRule type="expression" priority="407">
      <formula>SEARCH("BILLING DONE", #REF!) &gt; 0</formula>
    </cfRule>
    <cfRule type="expression" dxfId="187" priority="408">
      <formula>SEARCH("NOT BILLED", #REF!) &gt; 0</formula>
    </cfRule>
  </conditionalFormatting>
  <conditionalFormatting sqref="E326">
    <cfRule type="expression" priority="399">
      <formula>SEARCH("BILLING DONE", #REF!) &gt; 0</formula>
    </cfRule>
    <cfRule type="expression" dxfId="186" priority="400">
      <formula>SEARCH("NOT BILLED", #REF!) &gt; 0</formula>
    </cfRule>
  </conditionalFormatting>
  <conditionalFormatting sqref="E329">
    <cfRule type="expression" priority="391">
      <formula>SEARCH("BILLING DONE", #REF!) &gt; 0</formula>
    </cfRule>
    <cfRule type="expression" dxfId="185" priority="392">
      <formula>SEARCH("NOT BILLED", #REF!) &gt; 0</formula>
    </cfRule>
  </conditionalFormatting>
  <conditionalFormatting sqref="F563">
    <cfRule type="containsText" dxfId="184" priority="3043" operator="containsText" text="COMPLETED">
      <formula>NOT(ISERROR(SEARCH("COMPLETED",F563)))</formula>
    </cfRule>
    <cfRule type="containsText" dxfId="183" priority="3044" operator="containsText" text="HOLD">
      <formula>NOT(ISERROR(SEARCH("HOLD",F563)))</formula>
    </cfRule>
    <cfRule type="containsText" dxfId="182" priority="3045" operator="containsText" text="NOT YET STARTED">
      <formula>NOT(ISERROR(SEARCH("NOT YET STARTED",F563)))</formula>
    </cfRule>
    <cfRule type="containsText" dxfId="181" priority="3046" operator="containsText" text="IN PROGRESS">
      <formula>NOT(ISERROR(SEARCH("IN PROGRESS",F563)))</formula>
    </cfRule>
  </conditionalFormatting>
  <conditionalFormatting sqref="F143">
    <cfRule type="containsText" dxfId="180" priority="2081" operator="containsText" text="COMPLETED">
      <formula>NOT(ISERROR(SEARCH("COMPLETED",F143)))</formula>
    </cfRule>
    <cfRule type="containsText" dxfId="179" priority="2082" operator="containsText" text="HOLD">
      <formula>NOT(ISERROR(SEARCH("HOLD",F143)))</formula>
    </cfRule>
    <cfRule type="containsText" dxfId="178" priority="2083" operator="containsText" text="NOT YET STARTED">
      <formula>NOT(ISERROR(SEARCH("NOT YET STARTED",F143)))</formula>
    </cfRule>
    <cfRule type="containsText" dxfId="177" priority="2084" operator="containsText" text="IN PROGRESS">
      <formula>NOT(ISERROR(SEARCH("IN PROGRESS",F143)))</formula>
    </cfRule>
  </conditionalFormatting>
  <conditionalFormatting sqref="F257:F261">
    <cfRule type="expression" priority="451">
      <formula>SEARCH("BILLING DONE", #REF!) &gt; 0</formula>
    </cfRule>
    <cfRule type="expression" dxfId="176" priority="452">
      <formula>SEARCH("NOT BILLED", #REF!) &gt; 0</formula>
    </cfRule>
  </conditionalFormatting>
  <conditionalFormatting sqref="F335:F336">
    <cfRule type="expression" priority="455">
      <formula>SEARCH("BILLING DONE", #REF!) &gt; 0</formula>
    </cfRule>
    <cfRule type="expression" dxfId="175" priority="456">
      <formula>SEARCH("NOT BILLED", #REF!) &gt; 0</formula>
    </cfRule>
  </conditionalFormatting>
  <conditionalFormatting sqref="F339:F340">
    <cfRule type="expression" priority="453">
      <formula>SEARCH("BILLING DONE", #REF!) &gt; 0</formula>
    </cfRule>
    <cfRule type="expression" dxfId="174" priority="454">
      <formula>SEARCH("NOT BILLED", #REF!) &gt; 0</formula>
    </cfRule>
  </conditionalFormatting>
  <conditionalFormatting sqref="F344:F345">
    <cfRule type="expression" priority="457">
      <formula>SEARCH("BILLING DONE", #REF!) &gt; 0</formula>
    </cfRule>
    <cfRule type="expression" dxfId="173" priority="458">
      <formula>SEARCH("NOT BILLED", #REF!) &gt; 0</formula>
    </cfRule>
  </conditionalFormatting>
  <conditionalFormatting sqref="G314">
    <cfRule type="expression" priority="427">
      <formula>SEARCH("BILLING DONE", #REF!) &gt; 0</formula>
    </cfRule>
    <cfRule type="expression" dxfId="172" priority="428">
      <formula>SEARCH("NOT BILLED", #REF!) &gt; 0</formula>
    </cfRule>
  </conditionalFormatting>
  <conditionalFormatting sqref="H179">
    <cfRule type="containsText" dxfId="171" priority="1935" operator="containsText" text="COMPLETED">
      <formula>NOT(ISERROR(SEARCH("COMPLETED",H179)))</formula>
    </cfRule>
    <cfRule type="containsText" dxfId="170" priority="1936" operator="containsText" text="HOLD">
      <formula>NOT(ISERROR(SEARCH("HOLD",H179)))</formula>
    </cfRule>
    <cfRule type="containsText" dxfId="169" priority="1937" operator="containsText" text="NOT YET STARTED">
      <formula>NOT(ISERROR(SEARCH("NOT YET STARTED",H179)))</formula>
    </cfRule>
    <cfRule type="containsText" dxfId="168" priority="1938" operator="containsText" text="IN PROGRESS">
      <formula>NOT(ISERROR(SEARCH("IN PROGRESS",H179)))</formula>
    </cfRule>
  </conditionalFormatting>
  <conditionalFormatting sqref="H191:H192">
    <cfRule type="containsText" dxfId="167" priority="1931" operator="containsText" text="COMPLETED">
      <formula>NOT(ISERROR(SEARCH("COMPLETED",H191)))</formula>
    </cfRule>
    <cfRule type="containsText" dxfId="166" priority="1932" operator="containsText" text="HOLD">
      <formula>NOT(ISERROR(SEARCH("HOLD",H191)))</formula>
    </cfRule>
    <cfRule type="containsText" dxfId="165" priority="1933" operator="containsText" text="NOT YET STARTED">
      <formula>NOT(ISERROR(SEARCH("NOT YET STARTED",H191)))</formula>
    </cfRule>
    <cfRule type="containsText" dxfId="164" priority="1934" operator="containsText" text="IN PROGRESS">
      <formula>NOT(ISERROR(SEARCH("IN PROGRESS",H191)))</formula>
    </cfRule>
  </conditionalFormatting>
  <conditionalFormatting sqref="B550">
    <cfRule type="expression" priority="365">
      <formula>SEARCH("BILLING DONE", #REF!) &gt; 0</formula>
    </cfRule>
    <cfRule type="expression" dxfId="163" priority="366">
      <formula>SEARCH("NOT BILLED", #REF!) &gt; 0</formula>
    </cfRule>
  </conditionalFormatting>
  <conditionalFormatting sqref="E553">
    <cfRule type="expression" priority="297">
      <formula>SEARCH("BILLING DONE", #REF!) &gt; 0</formula>
    </cfRule>
    <cfRule type="expression" dxfId="162" priority="298">
      <formula>SEARCH("NOT BILLED", #REF!) &gt; 0</formula>
    </cfRule>
  </conditionalFormatting>
  <conditionalFormatting sqref="D551">
    <cfRule type="expression" priority="359">
      <formula>SEARCH("BILLING DONE", #REF!) &gt; 0</formula>
    </cfRule>
    <cfRule type="expression" dxfId="161" priority="360">
      <formula>SEARCH("NOT BILLED", #REF!) &gt; 0</formula>
    </cfRule>
  </conditionalFormatting>
  <conditionalFormatting sqref="E551">
    <cfRule type="containsText" dxfId="160" priority="361" operator="containsText" text="COMPLETED">
      <formula>NOT(ISERROR(SEARCH("COMPLETED",E551)))</formula>
    </cfRule>
    <cfRule type="containsText" dxfId="159" priority="362" operator="containsText" text="HOLD">
      <formula>NOT(ISERROR(SEARCH("HOLD",E551)))</formula>
    </cfRule>
  </conditionalFormatting>
  <conditionalFormatting sqref="E551">
    <cfRule type="containsText" dxfId="158" priority="363" operator="containsText" text="NOT YET STARTED">
      <formula>NOT(ISERROR(SEARCH("NOT YET STARTED",E551)))</formula>
    </cfRule>
    <cfRule type="containsText" dxfId="157" priority="364" operator="containsText" text="IN PROGRESS">
      <formula>NOT(ISERROR(SEARCH("IN PROGRESS",E551)))</formula>
    </cfRule>
  </conditionalFormatting>
  <conditionalFormatting sqref="E551">
    <cfRule type="expression" priority="355">
      <formula>SEARCH("BILLING DONE", #REF!) &gt; 0</formula>
    </cfRule>
    <cfRule type="expression" dxfId="156" priority="356">
      <formula>SEARCH("NOT BILLED", #REF!) &gt; 0</formula>
    </cfRule>
  </conditionalFormatting>
  <conditionalFormatting sqref="E551">
    <cfRule type="containsText" dxfId="155" priority="357" operator="containsText" text="NOT YET STARTED">
      <formula>NOT(ISERROR(SEARCH("NOT YET STARTED",E551)))</formula>
    </cfRule>
    <cfRule type="containsText" dxfId="154" priority="358" operator="containsText" text="IN PROGRESS">
      <formula>NOT(ISERROR(SEARCH("IN PROGRESS",E551)))</formula>
    </cfRule>
  </conditionalFormatting>
  <conditionalFormatting sqref="C551">
    <cfRule type="expression" priority="353">
      <formula>SEARCH("BILLING DONE", #REF!) &gt; 0</formula>
    </cfRule>
    <cfRule type="expression" dxfId="153" priority="354">
      <formula>SEARCH("NOT BILLED", #REF!) &gt; 0</formula>
    </cfRule>
  </conditionalFormatting>
  <conditionalFormatting sqref="D552">
    <cfRule type="expression" priority="343">
      <formula>SEARCH("BILLING DONE", #REF!) &gt; 0</formula>
    </cfRule>
    <cfRule type="expression" dxfId="152" priority="344">
      <formula>SEARCH("NOT BILLED", #REF!) &gt; 0</formula>
    </cfRule>
  </conditionalFormatting>
  <conditionalFormatting sqref="C552">
    <cfRule type="expression" priority="337">
      <formula>SEARCH("BILLING DONE", #REF!) &gt; 0</formula>
    </cfRule>
    <cfRule type="expression" dxfId="151" priority="338">
      <formula>SEARCH("NOT BILLED", #REF!) &gt; 0</formula>
    </cfRule>
  </conditionalFormatting>
  <conditionalFormatting sqref="D553">
    <cfRule type="expression" priority="323">
      <formula>SEARCH("BILLING DONE", #REF!) &gt; 0</formula>
    </cfRule>
    <cfRule type="expression" dxfId="150" priority="324">
      <formula>SEARCH("NOT BILLED", #REF!) &gt; 0</formula>
    </cfRule>
  </conditionalFormatting>
  <conditionalFormatting sqref="E553">
    <cfRule type="containsText" dxfId="149" priority="321" operator="containsText" text="COMPLETED">
      <formula>NOT(ISERROR(SEARCH("COMPLETED",E553)))</formula>
    </cfRule>
    <cfRule type="containsText" dxfId="148" priority="322" operator="containsText" text="HOLD">
      <formula>NOT(ISERROR(SEARCH("HOLD",E553)))</formula>
    </cfRule>
  </conditionalFormatting>
  <conditionalFormatting sqref="E553">
    <cfRule type="containsText" dxfId="147" priority="319" operator="containsText" text="COMPLETED">
      <formula>NOT(ISERROR(SEARCH("COMPLETED",E553)))</formula>
    </cfRule>
    <cfRule type="containsText" dxfId="146" priority="320" operator="containsText" text="HOLD">
      <formula>NOT(ISERROR(SEARCH("HOLD",E553)))</formula>
    </cfRule>
  </conditionalFormatting>
  <conditionalFormatting sqref="E553">
    <cfRule type="expression" priority="313">
      <formula>SEARCH("BILLING DONE", #REF!) &gt; 0</formula>
    </cfRule>
    <cfRule type="expression" dxfId="145" priority="314">
      <formula>SEARCH("NOT BILLED", #REF!) &gt; 0</formula>
    </cfRule>
  </conditionalFormatting>
  <conditionalFormatting sqref="E553">
    <cfRule type="containsText" dxfId="144" priority="315" operator="containsText" text="COMPLETED">
      <formula>NOT(ISERROR(SEARCH("COMPLETED",E553)))</formula>
    </cfRule>
    <cfRule type="containsText" dxfId="143" priority="316" operator="containsText" text="HOLD">
      <formula>NOT(ISERROR(SEARCH("HOLD",E553)))</formula>
    </cfRule>
  </conditionalFormatting>
  <conditionalFormatting sqref="E553">
    <cfRule type="containsText" dxfId="142" priority="317" operator="containsText" text="NOT YET STARTED">
      <formula>NOT(ISERROR(SEARCH("NOT YET STARTED",E553)))</formula>
    </cfRule>
    <cfRule type="containsText" dxfId="141" priority="318" operator="containsText" text="IN PROGRESS">
      <formula>NOT(ISERROR(SEARCH("IN PROGRESS",E553)))</formula>
    </cfRule>
  </conditionalFormatting>
  <conditionalFormatting sqref="E553">
    <cfRule type="expression" priority="309">
      <formula>SEARCH("BILLING DONE", #REF!) &gt; 0</formula>
    </cfRule>
    <cfRule type="expression" dxfId="140" priority="310">
      <formula>SEARCH("NOT BILLED", #REF!) &gt; 0</formula>
    </cfRule>
  </conditionalFormatting>
  <conditionalFormatting sqref="E553">
    <cfRule type="containsText" dxfId="139" priority="311" operator="containsText" text="NOT YET STARTED">
      <formula>NOT(ISERROR(SEARCH("NOT YET STARTED",E553)))</formula>
    </cfRule>
    <cfRule type="containsText" dxfId="138" priority="312" operator="containsText" text="IN PROGRESS">
      <formula>NOT(ISERROR(SEARCH("IN PROGRESS",E553)))</formula>
    </cfRule>
  </conditionalFormatting>
  <conditionalFormatting sqref="E553">
    <cfRule type="expression" priority="301">
      <formula>SEARCH("BILLING DONE", #REF!) &gt; 0</formula>
    </cfRule>
    <cfRule type="expression" dxfId="137" priority="302">
      <formula>SEARCH("NOT BILLED", #REF!) &gt; 0</formula>
    </cfRule>
  </conditionalFormatting>
  <conditionalFormatting sqref="E553">
    <cfRule type="containsText" dxfId="136" priority="303" operator="containsText" text="COMPLETED">
      <formula>NOT(ISERROR(SEARCH("COMPLETED",E553)))</formula>
    </cfRule>
    <cfRule type="containsText" dxfId="135" priority="304" operator="containsText" text="HOLD">
      <formula>NOT(ISERROR(SEARCH("HOLD",E553)))</formula>
    </cfRule>
  </conditionalFormatting>
  <conditionalFormatting sqref="E553">
    <cfRule type="containsText" dxfId="134" priority="305" operator="containsText" text="NOT YET STARTED">
      <formula>NOT(ISERROR(SEARCH("NOT YET STARTED",E553)))</formula>
    </cfRule>
    <cfRule type="containsText" dxfId="133" priority="306" operator="containsText" text="IN PROGRESS">
      <formula>NOT(ISERROR(SEARCH("IN PROGRESS",E553)))</formula>
    </cfRule>
  </conditionalFormatting>
  <conditionalFormatting sqref="E553">
    <cfRule type="containsText" dxfId="132" priority="299" operator="containsText" text="NOT YET STARTED">
      <formula>NOT(ISERROR(SEARCH("NOT YET STARTED",E553)))</formula>
    </cfRule>
    <cfRule type="containsText" dxfId="131" priority="300" operator="containsText" text="IN PROGRESS">
      <formula>NOT(ISERROR(SEARCH("IN PROGRESS",E553)))</formula>
    </cfRule>
  </conditionalFormatting>
  <conditionalFormatting sqref="D554">
    <cfRule type="expression" priority="295">
      <formula>SEARCH("BILLING DONE", #REF!) &gt; 0</formula>
    </cfRule>
    <cfRule type="expression" dxfId="130" priority="296">
      <formula>SEARCH("NOT BILLED", #REF!) &gt; 0</formula>
    </cfRule>
  </conditionalFormatting>
  <conditionalFormatting sqref="C554">
    <cfRule type="expression" priority="267">
      <formula>SEARCH("BILLING DONE", #REF!) &gt; 0</formula>
    </cfRule>
    <cfRule type="expression" dxfId="129" priority="268">
      <formula>SEARCH("NOT BILLED", #REF!) &gt; 0</formula>
    </cfRule>
  </conditionalFormatting>
  <conditionalFormatting sqref="E554">
    <cfRule type="expression" priority="243">
      <formula>SEARCH("BILLING DONE", #REF!) &gt; 0</formula>
    </cfRule>
    <cfRule type="expression" dxfId="128" priority="244">
      <formula>SEARCH("NOT BILLED", #REF!) &gt; 0</formula>
    </cfRule>
  </conditionalFormatting>
  <conditionalFormatting sqref="E554">
    <cfRule type="containsText" dxfId="127" priority="265" operator="containsText" text="COMPLETED">
      <formula>NOT(ISERROR(SEARCH("COMPLETED",E554)))</formula>
    </cfRule>
    <cfRule type="containsText" dxfId="126" priority="266" operator="containsText" text="HOLD">
      <formula>NOT(ISERROR(SEARCH("HOLD",E554)))</formula>
    </cfRule>
  </conditionalFormatting>
  <conditionalFormatting sqref="E554">
    <cfRule type="containsText" dxfId="125" priority="263" operator="containsText" text="COMPLETED">
      <formula>NOT(ISERROR(SEARCH("COMPLETED",E554)))</formula>
    </cfRule>
    <cfRule type="containsText" dxfId="124" priority="264" operator="containsText" text="HOLD">
      <formula>NOT(ISERROR(SEARCH("HOLD",E554)))</formula>
    </cfRule>
  </conditionalFormatting>
  <conditionalFormatting sqref="E554">
    <cfRule type="expression" priority="257">
      <formula>SEARCH("BILLING DONE", #REF!) &gt; 0</formula>
    </cfRule>
    <cfRule type="expression" dxfId="123" priority="258">
      <formula>SEARCH("NOT BILLED", #REF!) &gt; 0</formula>
    </cfRule>
  </conditionalFormatting>
  <conditionalFormatting sqref="E554">
    <cfRule type="containsText" dxfId="122" priority="259" operator="containsText" text="COMPLETED">
      <formula>NOT(ISERROR(SEARCH("COMPLETED",E554)))</formula>
    </cfRule>
    <cfRule type="containsText" dxfId="121" priority="260" operator="containsText" text="HOLD">
      <formula>NOT(ISERROR(SEARCH("HOLD",E554)))</formula>
    </cfRule>
  </conditionalFormatting>
  <conditionalFormatting sqref="E554">
    <cfRule type="containsText" dxfId="120" priority="261" operator="containsText" text="NOT YET STARTED">
      <formula>NOT(ISERROR(SEARCH("NOT YET STARTED",E554)))</formula>
    </cfRule>
    <cfRule type="containsText" dxfId="119" priority="262" operator="containsText" text="IN PROGRESS">
      <formula>NOT(ISERROR(SEARCH("IN PROGRESS",E554)))</formula>
    </cfRule>
  </conditionalFormatting>
  <conditionalFormatting sqref="E554">
    <cfRule type="expression" priority="253">
      <formula>SEARCH("BILLING DONE", #REF!) &gt; 0</formula>
    </cfRule>
    <cfRule type="expression" dxfId="118" priority="254">
      <formula>SEARCH("NOT BILLED", #REF!) &gt; 0</formula>
    </cfRule>
  </conditionalFormatting>
  <conditionalFormatting sqref="E554">
    <cfRule type="containsText" dxfId="117" priority="255" operator="containsText" text="NOT YET STARTED">
      <formula>NOT(ISERROR(SEARCH("NOT YET STARTED",E554)))</formula>
    </cfRule>
    <cfRule type="containsText" dxfId="116" priority="256" operator="containsText" text="IN PROGRESS">
      <formula>NOT(ISERROR(SEARCH("IN PROGRESS",E554)))</formula>
    </cfRule>
  </conditionalFormatting>
  <conditionalFormatting sqref="E554">
    <cfRule type="expression" priority="247">
      <formula>SEARCH("BILLING DONE", #REF!) &gt; 0</formula>
    </cfRule>
    <cfRule type="expression" dxfId="115" priority="248">
      <formula>SEARCH("NOT BILLED", #REF!) &gt; 0</formula>
    </cfRule>
  </conditionalFormatting>
  <conditionalFormatting sqref="E554">
    <cfRule type="containsText" dxfId="114" priority="249" operator="containsText" text="COMPLETED">
      <formula>NOT(ISERROR(SEARCH("COMPLETED",E554)))</formula>
    </cfRule>
    <cfRule type="containsText" dxfId="113" priority="250" operator="containsText" text="HOLD">
      <formula>NOT(ISERROR(SEARCH("HOLD",E554)))</formula>
    </cfRule>
  </conditionalFormatting>
  <conditionalFormatting sqref="E554">
    <cfRule type="containsText" dxfId="112" priority="251" operator="containsText" text="NOT YET STARTED">
      <formula>NOT(ISERROR(SEARCH("NOT YET STARTED",E554)))</formula>
    </cfRule>
    <cfRule type="containsText" dxfId="111" priority="252" operator="containsText" text="IN PROGRESS">
      <formula>NOT(ISERROR(SEARCH("IN PROGRESS",E554)))</formula>
    </cfRule>
  </conditionalFormatting>
  <conditionalFormatting sqref="E554">
    <cfRule type="containsText" dxfId="110" priority="245" operator="containsText" text="NOT YET STARTED">
      <formula>NOT(ISERROR(SEARCH("NOT YET STARTED",E554)))</formula>
    </cfRule>
    <cfRule type="containsText" dxfId="109" priority="246" operator="containsText" text="IN PROGRESS">
      <formula>NOT(ISERROR(SEARCH("IN PROGRESS",E554)))</formula>
    </cfRule>
  </conditionalFormatting>
  <conditionalFormatting sqref="D555">
    <cfRule type="expression" priority="241">
      <formula>SEARCH("BILLING DONE", #REF!) &gt; 0</formula>
    </cfRule>
    <cfRule type="expression" dxfId="108" priority="242">
      <formula>SEARCH("NOT BILLED", #REF!) &gt; 0</formula>
    </cfRule>
  </conditionalFormatting>
  <conditionalFormatting sqref="C555">
    <cfRule type="expression" priority="237">
      <formula>SEARCH("BILLING DONE", #REF!) &gt; 0</formula>
    </cfRule>
    <cfRule type="expression" dxfId="107" priority="238">
      <formula>SEARCH("NOT BILLED", #REF!) &gt; 0</formula>
    </cfRule>
  </conditionalFormatting>
  <conditionalFormatting sqref="C556:C557">
    <cfRule type="expression" priority="211">
      <formula>SEARCH("BILLING DONE", #REF!) &gt; 0</formula>
    </cfRule>
    <cfRule type="expression" dxfId="106" priority="212">
      <formula>SEARCH("NOT BILLED", #REF!) &gt; 0</formula>
    </cfRule>
  </conditionalFormatting>
  <conditionalFormatting sqref="E552">
    <cfRule type="expression" priority="109">
      <formula>SEARCH("BILLING DONE", #REF!) &gt; 0</formula>
    </cfRule>
    <cfRule type="expression" dxfId="105" priority="110">
      <formula>SEARCH("NOT BILLED", #REF!) &gt; 0</formula>
    </cfRule>
  </conditionalFormatting>
  <conditionalFormatting sqref="E556">
    <cfRule type="expression" priority="181">
      <formula>SEARCH("BILLING DONE", #REF!) &gt; 0</formula>
    </cfRule>
    <cfRule type="expression" dxfId="104" priority="182">
      <formula>SEARCH("NOT BILLED", #REF!) &gt; 0</formula>
    </cfRule>
  </conditionalFormatting>
  <conditionalFormatting sqref="E556">
    <cfRule type="containsText" dxfId="103" priority="203" operator="containsText" text="COMPLETED">
      <formula>NOT(ISERROR(SEARCH("COMPLETED",E556)))</formula>
    </cfRule>
    <cfRule type="containsText" dxfId="102" priority="204" operator="containsText" text="HOLD">
      <formula>NOT(ISERROR(SEARCH("HOLD",E556)))</formula>
    </cfRule>
  </conditionalFormatting>
  <conditionalFormatting sqref="E556">
    <cfRule type="containsText" dxfId="101" priority="201" operator="containsText" text="COMPLETED">
      <formula>NOT(ISERROR(SEARCH("COMPLETED",E556)))</formula>
    </cfRule>
    <cfRule type="containsText" dxfId="100" priority="202" operator="containsText" text="HOLD">
      <formula>NOT(ISERROR(SEARCH("HOLD",E556)))</formula>
    </cfRule>
  </conditionalFormatting>
  <conditionalFormatting sqref="E556">
    <cfRule type="expression" priority="195">
      <formula>SEARCH("BILLING DONE", #REF!) &gt; 0</formula>
    </cfRule>
    <cfRule type="expression" dxfId="99" priority="196">
      <formula>SEARCH("NOT BILLED", #REF!) &gt; 0</formula>
    </cfRule>
  </conditionalFormatting>
  <conditionalFormatting sqref="E556">
    <cfRule type="containsText" dxfId="98" priority="197" operator="containsText" text="COMPLETED">
      <formula>NOT(ISERROR(SEARCH("COMPLETED",E556)))</formula>
    </cfRule>
    <cfRule type="containsText" dxfId="97" priority="198" operator="containsText" text="HOLD">
      <formula>NOT(ISERROR(SEARCH("HOLD",E556)))</formula>
    </cfRule>
  </conditionalFormatting>
  <conditionalFormatting sqref="E556">
    <cfRule type="containsText" dxfId="96" priority="199" operator="containsText" text="NOT YET STARTED">
      <formula>NOT(ISERROR(SEARCH("NOT YET STARTED",E556)))</formula>
    </cfRule>
    <cfRule type="containsText" dxfId="95" priority="200" operator="containsText" text="IN PROGRESS">
      <formula>NOT(ISERROR(SEARCH("IN PROGRESS",E556)))</formula>
    </cfRule>
  </conditionalFormatting>
  <conditionalFormatting sqref="E556">
    <cfRule type="expression" priority="191">
      <formula>SEARCH("BILLING DONE", #REF!) &gt; 0</formula>
    </cfRule>
    <cfRule type="expression" dxfId="94" priority="192">
      <formula>SEARCH("NOT BILLED", #REF!) &gt; 0</formula>
    </cfRule>
  </conditionalFormatting>
  <conditionalFormatting sqref="E556">
    <cfRule type="containsText" dxfId="93" priority="193" operator="containsText" text="NOT YET STARTED">
      <formula>NOT(ISERROR(SEARCH("NOT YET STARTED",E556)))</formula>
    </cfRule>
    <cfRule type="containsText" dxfId="92" priority="194" operator="containsText" text="IN PROGRESS">
      <formula>NOT(ISERROR(SEARCH("IN PROGRESS",E556)))</formula>
    </cfRule>
  </conditionalFormatting>
  <conditionalFormatting sqref="E556">
    <cfRule type="expression" priority="185">
      <formula>SEARCH("BILLING DONE", #REF!) &gt; 0</formula>
    </cfRule>
    <cfRule type="expression" dxfId="91" priority="186">
      <formula>SEARCH("NOT BILLED", #REF!) &gt; 0</formula>
    </cfRule>
  </conditionalFormatting>
  <conditionalFormatting sqref="E556">
    <cfRule type="containsText" dxfId="90" priority="187" operator="containsText" text="COMPLETED">
      <formula>NOT(ISERROR(SEARCH("COMPLETED",E556)))</formula>
    </cfRule>
    <cfRule type="containsText" dxfId="89" priority="188" operator="containsText" text="HOLD">
      <formula>NOT(ISERROR(SEARCH("HOLD",E556)))</formula>
    </cfRule>
  </conditionalFormatting>
  <conditionalFormatting sqref="E556">
    <cfRule type="containsText" dxfId="88" priority="189" operator="containsText" text="NOT YET STARTED">
      <formula>NOT(ISERROR(SEARCH("NOT YET STARTED",E556)))</formula>
    </cfRule>
    <cfRule type="containsText" dxfId="87" priority="190" operator="containsText" text="IN PROGRESS">
      <formula>NOT(ISERROR(SEARCH("IN PROGRESS",E556)))</formula>
    </cfRule>
  </conditionalFormatting>
  <conditionalFormatting sqref="E556">
    <cfRule type="containsText" dxfId="86" priority="183" operator="containsText" text="NOT YET STARTED">
      <formula>NOT(ISERROR(SEARCH("NOT YET STARTED",E556)))</formula>
    </cfRule>
    <cfRule type="containsText" dxfId="85" priority="184" operator="containsText" text="IN PROGRESS">
      <formula>NOT(ISERROR(SEARCH("IN PROGRESS",E556)))</formula>
    </cfRule>
  </conditionalFormatting>
  <conditionalFormatting sqref="E555">
    <cfRule type="expression" priority="157">
      <formula>SEARCH("BILLING DONE", #REF!) &gt; 0</formula>
    </cfRule>
    <cfRule type="expression" dxfId="84" priority="158">
      <formula>SEARCH("NOT BILLED", #REF!) &gt; 0</formula>
    </cfRule>
  </conditionalFormatting>
  <conditionalFormatting sqref="E555">
    <cfRule type="containsText" dxfId="83" priority="179" operator="containsText" text="COMPLETED">
      <formula>NOT(ISERROR(SEARCH("COMPLETED",E555)))</formula>
    </cfRule>
    <cfRule type="containsText" dxfId="82" priority="180" operator="containsText" text="HOLD">
      <formula>NOT(ISERROR(SEARCH("HOLD",E555)))</formula>
    </cfRule>
  </conditionalFormatting>
  <conditionalFormatting sqref="E555">
    <cfRule type="containsText" dxfId="81" priority="177" operator="containsText" text="COMPLETED">
      <formula>NOT(ISERROR(SEARCH("COMPLETED",E555)))</formula>
    </cfRule>
    <cfRule type="containsText" dxfId="80" priority="178" operator="containsText" text="HOLD">
      <formula>NOT(ISERROR(SEARCH("HOLD",E555)))</formula>
    </cfRule>
  </conditionalFormatting>
  <conditionalFormatting sqref="E555">
    <cfRule type="expression" priority="171">
      <formula>SEARCH("BILLING DONE", #REF!) &gt; 0</formula>
    </cfRule>
    <cfRule type="expression" dxfId="79" priority="172">
      <formula>SEARCH("NOT BILLED", #REF!) &gt; 0</formula>
    </cfRule>
  </conditionalFormatting>
  <conditionalFormatting sqref="E555">
    <cfRule type="containsText" dxfId="78" priority="173" operator="containsText" text="COMPLETED">
      <formula>NOT(ISERROR(SEARCH("COMPLETED",E555)))</formula>
    </cfRule>
    <cfRule type="containsText" dxfId="77" priority="174" operator="containsText" text="HOLD">
      <formula>NOT(ISERROR(SEARCH("HOLD",E555)))</formula>
    </cfRule>
  </conditionalFormatting>
  <conditionalFormatting sqref="E555">
    <cfRule type="containsText" dxfId="76" priority="175" operator="containsText" text="NOT YET STARTED">
      <formula>NOT(ISERROR(SEARCH("NOT YET STARTED",E555)))</formula>
    </cfRule>
    <cfRule type="containsText" dxfId="75" priority="176" operator="containsText" text="IN PROGRESS">
      <formula>NOT(ISERROR(SEARCH("IN PROGRESS",E555)))</formula>
    </cfRule>
  </conditionalFormatting>
  <conditionalFormatting sqref="E555">
    <cfRule type="expression" priority="167">
      <formula>SEARCH("BILLING DONE", #REF!) &gt; 0</formula>
    </cfRule>
    <cfRule type="expression" dxfId="74" priority="168">
      <formula>SEARCH("NOT BILLED", #REF!) &gt; 0</formula>
    </cfRule>
  </conditionalFormatting>
  <conditionalFormatting sqref="E555">
    <cfRule type="containsText" dxfId="73" priority="169" operator="containsText" text="NOT YET STARTED">
      <formula>NOT(ISERROR(SEARCH("NOT YET STARTED",E555)))</formula>
    </cfRule>
    <cfRule type="containsText" dxfId="72" priority="170" operator="containsText" text="IN PROGRESS">
      <formula>NOT(ISERROR(SEARCH("IN PROGRESS",E555)))</formula>
    </cfRule>
  </conditionalFormatting>
  <conditionalFormatting sqref="E555">
    <cfRule type="expression" priority="161">
      <formula>SEARCH("BILLING DONE", #REF!) &gt; 0</formula>
    </cfRule>
    <cfRule type="expression" dxfId="71" priority="162">
      <formula>SEARCH("NOT BILLED", #REF!) &gt; 0</formula>
    </cfRule>
  </conditionalFormatting>
  <conditionalFormatting sqref="E555">
    <cfRule type="containsText" dxfId="70" priority="163" operator="containsText" text="COMPLETED">
      <formula>NOT(ISERROR(SEARCH("COMPLETED",E555)))</formula>
    </cfRule>
    <cfRule type="containsText" dxfId="69" priority="164" operator="containsText" text="HOLD">
      <formula>NOT(ISERROR(SEARCH("HOLD",E555)))</formula>
    </cfRule>
  </conditionalFormatting>
  <conditionalFormatting sqref="E555">
    <cfRule type="containsText" dxfId="68" priority="165" operator="containsText" text="NOT YET STARTED">
      <formula>NOT(ISERROR(SEARCH("NOT YET STARTED",E555)))</formula>
    </cfRule>
    <cfRule type="containsText" dxfId="67" priority="166" operator="containsText" text="IN PROGRESS">
      <formula>NOT(ISERROR(SEARCH("IN PROGRESS",E555)))</formula>
    </cfRule>
  </conditionalFormatting>
  <conditionalFormatting sqref="E555">
    <cfRule type="containsText" dxfId="66" priority="159" operator="containsText" text="NOT YET STARTED">
      <formula>NOT(ISERROR(SEARCH("NOT YET STARTED",E555)))</formula>
    </cfRule>
    <cfRule type="containsText" dxfId="65" priority="160" operator="containsText" text="IN PROGRESS">
      <formula>NOT(ISERROR(SEARCH("IN PROGRESS",E555)))</formula>
    </cfRule>
  </conditionalFormatting>
  <conditionalFormatting sqref="E551">
    <cfRule type="expression" priority="127">
      <formula>SEARCH("BILLING DONE", #REF!) &gt; 0</formula>
    </cfRule>
    <cfRule type="expression" dxfId="64" priority="128">
      <formula>SEARCH("NOT BILLED", #REF!) &gt; 0</formula>
    </cfRule>
  </conditionalFormatting>
  <conditionalFormatting sqref="E551">
    <cfRule type="containsText" dxfId="63" priority="129" operator="containsText" text="NOT YET STARTED">
      <formula>NOT(ISERROR(SEARCH("NOT YET STARTED",E551)))</formula>
    </cfRule>
    <cfRule type="containsText" dxfId="62" priority="130" operator="containsText" text="IN PROGRESS">
      <formula>NOT(ISERROR(SEARCH("IN PROGRESS",E551)))</formula>
    </cfRule>
  </conditionalFormatting>
  <conditionalFormatting sqref="F551">
    <cfRule type="expression" priority="125">
      <formula>SEARCH("BILLING DONE", #REF!) &gt; 0</formula>
    </cfRule>
    <cfRule type="expression" dxfId="61" priority="126">
      <formula>SEARCH("NOT BILLED", #REF!) &gt; 0</formula>
    </cfRule>
  </conditionalFormatting>
  <conditionalFormatting sqref="E552">
    <cfRule type="containsText" dxfId="60" priority="123" operator="containsText" text="COMPLETED">
      <formula>NOT(ISERROR(SEARCH("COMPLETED",E552)))</formula>
    </cfRule>
    <cfRule type="containsText" dxfId="59" priority="124" operator="containsText" text="HOLD">
      <formula>NOT(ISERROR(SEARCH("HOLD",E552)))</formula>
    </cfRule>
  </conditionalFormatting>
  <conditionalFormatting sqref="E552">
    <cfRule type="expression" priority="117">
      <formula>SEARCH("BILLING DONE", #REF!) &gt; 0</formula>
    </cfRule>
    <cfRule type="expression" dxfId="58" priority="118">
      <formula>SEARCH("NOT BILLED", #REF!) &gt; 0</formula>
    </cfRule>
  </conditionalFormatting>
  <conditionalFormatting sqref="E552">
    <cfRule type="containsText" dxfId="57" priority="119" operator="containsText" text="COMPLETED">
      <formula>NOT(ISERROR(SEARCH("COMPLETED",E552)))</formula>
    </cfRule>
    <cfRule type="containsText" dxfId="56" priority="120" operator="containsText" text="HOLD">
      <formula>NOT(ISERROR(SEARCH("HOLD",E552)))</formula>
    </cfRule>
  </conditionalFormatting>
  <conditionalFormatting sqref="E552">
    <cfRule type="containsText" dxfId="55" priority="121" operator="containsText" text="NOT YET STARTED">
      <formula>NOT(ISERROR(SEARCH("NOT YET STARTED",E552)))</formula>
    </cfRule>
    <cfRule type="containsText" dxfId="54" priority="122" operator="containsText" text="IN PROGRESS">
      <formula>NOT(ISERROR(SEARCH("IN PROGRESS",E552)))</formula>
    </cfRule>
  </conditionalFormatting>
  <conditionalFormatting sqref="E552">
    <cfRule type="expression" priority="113">
      <formula>SEARCH("BILLING DONE", #REF!) &gt; 0</formula>
    </cfRule>
    <cfRule type="expression" dxfId="53" priority="114">
      <formula>SEARCH("NOT BILLED", #REF!) &gt; 0</formula>
    </cfRule>
  </conditionalFormatting>
  <conditionalFormatting sqref="E552">
    <cfRule type="containsText" dxfId="52" priority="115" operator="containsText" text="NOT YET STARTED">
      <formula>NOT(ISERROR(SEARCH("NOT YET STARTED",E552)))</formula>
    </cfRule>
    <cfRule type="containsText" dxfId="51" priority="116" operator="containsText" text="IN PROGRESS">
      <formula>NOT(ISERROR(SEARCH("IN PROGRESS",E552)))</formula>
    </cfRule>
  </conditionalFormatting>
  <conditionalFormatting sqref="E552">
    <cfRule type="containsText" dxfId="50" priority="111" operator="containsText" text="NOT YET STARTED">
      <formula>NOT(ISERROR(SEARCH("NOT YET STARTED",E552)))</formula>
    </cfRule>
    <cfRule type="containsText" dxfId="49" priority="112" operator="containsText" text="IN PROGRESS">
      <formula>NOT(ISERROR(SEARCH("IN PROGRESS",E552)))</formula>
    </cfRule>
  </conditionalFormatting>
  <conditionalFormatting sqref="F552">
    <cfRule type="expression" priority="107">
      <formula>SEARCH("BILLING DONE", #REF!) &gt; 0</formula>
    </cfRule>
    <cfRule type="expression" dxfId="48" priority="108">
      <formula>SEARCH("NOT BILLED", #REF!) &gt; 0</formula>
    </cfRule>
  </conditionalFormatting>
  <conditionalFormatting sqref="E557">
    <cfRule type="expression" priority="81">
      <formula>SEARCH("BILLING DONE", #REF!) &gt; 0</formula>
    </cfRule>
    <cfRule type="expression" dxfId="47" priority="82">
      <formula>SEARCH("NOT BILLED", #REF!) &gt; 0</formula>
    </cfRule>
  </conditionalFormatting>
  <conditionalFormatting sqref="E557">
    <cfRule type="containsText" dxfId="46" priority="103" operator="containsText" text="COMPLETED">
      <formula>NOT(ISERROR(SEARCH("COMPLETED",E557)))</formula>
    </cfRule>
    <cfRule type="containsText" dxfId="45" priority="104" operator="containsText" text="HOLD">
      <formula>NOT(ISERROR(SEARCH("HOLD",E557)))</formula>
    </cfRule>
  </conditionalFormatting>
  <conditionalFormatting sqref="E557">
    <cfRule type="containsText" dxfId="44" priority="101" operator="containsText" text="COMPLETED">
      <formula>NOT(ISERROR(SEARCH("COMPLETED",E557)))</formula>
    </cfRule>
    <cfRule type="containsText" dxfId="43" priority="102" operator="containsText" text="HOLD">
      <formula>NOT(ISERROR(SEARCH("HOLD",E557)))</formula>
    </cfRule>
  </conditionalFormatting>
  <conditionalFormatting sqref="E557">
    <cfRule type="expression" priority="95">
      <formula>SEARCH("BILLING DONE", #REF!) &gt; 0</formula>
    </cfRule>
    <cfRule type="expression" dxfId="42" priority="96">
      <formula>SEARCH("NOT BILLED", #REF!) &gt; 0</formula>
    </cfRule>
  </conditionalFormatting>
  <conditionalFormatting sqref="E557">
    <cfRule type="containsText" dxfId="41" priority="97" operator="containsText" text="COMPLETED">
      <formula>NOT(ISERROR(SEARCH("COMPLETED",E557)))</formula>
    </cfRule>
    <cfRule type="containsText" dxfId="40" priority="98" operator="containsText" text="HOLD">
      <formula>NOT(ISERROR(SEARCH("HOLD",E557)))</formula>
    </cfRule>
  </conditionalFormatting>
  <conditionalFormatting sqref="E557">
    <cfRule type="containsText" dxfId="39" priority="99" operator="containsText" text="NOT YET STARTED">
      <formula>NOT(ISERROR(SEARCH("NOT YET STARTED",E557)))</formula>
    </cfRule>
    <cfRule type="containsText" dxfId="38" priority="100" operator="containsText" text="IN PROGRESS">
      <formula>NOT(ISERROR(SEARCH("IN PROGRESS",E557)))</formula>
    </cfRule>
  </conditionalFormatting>
  <conditionalFormatting sqref="E557">
    <cfRule type="expression" priority="91">
      <formula>SEARCH("BILLING DONE", #REF!) &gt; 0</formula>
    </cfRule>
    <cfRule type="expression" dxfId="37" priority="92">
      <formula>SEARCH("NOT BILLED", #REF!) &gt; 0</formula>
    </cfRule>
  </conditionalFormatting>
  <conditionalFormatting sqref="E557">
    <cfRule type="containsText" dxfId="36" priority="93" operator="containsText" text="NOT YET STARTED">
      <formula>NOT(ISERROR(SEARCH("NOT YET STARTED",E557)))</formula>
    </cfRule>
    <cfRule type="containsText" dxfId="35" priority="94" operator="containsText" text="IN PROGRESS">
      <formula>NOT(ISERROR(SEARCH("IN PROGRESS",E557)))</formula>
    </cfRule>
  </conditionalFormatting>
  <conditionalFormatting sqref="E557">
    <cfRule type="expression" priority="85">
      <formula>SEARCH("BILLING DONE", #REF!) &gt; 0</formula>
    </cfRule>
    <cfRule type="expression" dxfId="34" priority="86">
      <formula>SEARCH("NOT BILLED", #REF!) &gt; 0</formula>
    </cfRule>
  </conditionalFormatting>
  <conditionalFormatting sqref="E557">
    <cfRule type="containsText" dxfId="33" priority="87" operator="containsText" text="COMPLETED">
      <formula>NOT(ISERROR(SEARCH("COMPLETED",E557)))</formula>
    </cfRule>
    <cfRule type="containsText" dxfId="32" priority="88" operator="containsText" text="HOLD">
      <formula>NOT(ISERROR(SEARCH("HOLD",E557)))</formula>
    </cfRule>
  </conditionalFormatting>
  <conditionalFormatting sqref="E557">
    <cfRule type="containsText" dxfId="31" priority="89" operator="containsText" text="NOT YET STARTED">
      <formula>NOT(ISERROR(SEARCH("NOT YET STARTED",E557)))</formula>
    </cfRule>
    <cfRule type="containsText" dxfId="30" priority="90" operator="containsText" text="IN PROGRESS">
      <formula>NOT(ISERROR(SEARCH("IN PROGRESS",E557)))</formula>
    </cfRule>
  </conditionalFormatting>
  <conditionalFormatting sqref="E557">
    <cfRule type="containsText" dxfId="29" priority="83" operator="containsText" text="NOT YET STARTED">
      <formula>NOT(ISERROR(SEARCH("NOT YET STARTED",E557)))</formula>
    </cfRule>
    <cfRule type="containsText" dxfId="28" priority="84" operator="containsText" text="IN PROGRESS">
      <formula>NOT(ISERROR(SEARCH("IN PROGRESS",E557)))</formula>
    </cfRule>
  </conditionalFormatting>
  <conditionalFormatting sqref="E558">
    <cfRule type="expression" priority="65">
      <formula>SEARCH("BILLING DONE", #REF!) &gt; 0</formula>
    </cfRule>
    <cfRule type="expression" dxfId="27" priority="66">
      <formula>SEARCH("NOT BILLED", #REF!) &gt; 0</formula>
    </cfRule>
  </conditionalFormatting>
  <conditionalFormatting sqref="E558">
    <cfRule type="containsText" dxfId="26" priority="79" operator="containsText" text="COMPLETED">
      <formula>NOT(ISERROR(SEARCH("COMPLETED",E558)))</formula>
    </cfRule>
    <cfRule type="containsText" dxfId="25" priority="80" operator="containsText" text="HOLD">
      <formula>NOT(ISERROR(SEARCH("HOLD",E558)))</formula>
    </cfRule>
  </conditionalFormatting>
  <conditionalFormatting sqref="E558">
    <cfRule type="expression" priority="73">
      <formula>SEARCH("BILLING DONE", #REF!) &gt; 0</formula>
    </cfRule>
    <cfRule type="expression" dxfId="24" priority="74">
      <formula>SEARCH("NOT BILLED", #REF!) &gt; 0</formula>
    </cfRule>
  </conditionalFormatting>
  <conditionalFormatting sqref="E558">
    <cfRule type="containsText" dxfId="23" priority="75" operator="containsText" text="COMPLETED">
      <formula>NOT(ISERROR(SEARCH("COMPLETED",E558)))</formula>
    </cfRule>
    <cfRule type="containsText" dxfId="22" priority="76" operator="containsText" text="HOLD">
      <formula>NOT(ISERROR(SEARCH("HOLD",E558)))</formula>
    </cfRule>
  </conditionalFormatting>
  <conditionalFormatting sqref="E558">
    <cfRule type="containsText" dxfId="21" priority="77" operator="containsText" text="NOT YET STARTED">
      <formula>NOT(ISERROR(SEARCH("NOT YET STARTED",E558)))</formula>
    </cfRule>
    <cfRule type="containsText" dxfId="20" priority="78" operator="containsText" text="IN PROGRESS">
      <formula>NOT(ISERROR(SEARCH("IN PROGRESS",E558)))</formula>
    </cfRule>
  </conditionalFormatting>
  <conditionalFormatting sqref="E558">
    <cfRule type="expression" priority="69">
      <formula>SEARCH("BILLING DONE", #REF!) &gt; 0</formula>
    </cfRule>
    <cfRule type="expression" dxfId="19" priority="70">
      <formula>SEARCH("NOT BILLED", #REF!) &gt; 0</formula>
    </cfRule>
  </conditionalFormatting>
  <conditionalFormatting sqref="E558">
    <cfRule type="containsText" dxfId="18" priority="71" operator="containsText" text="NOT YET STARTED">
      <formula>NOT(ISERROR(SEARCH("NOT YET STARTED",E558)))</formula>
    </cfRule>
    <cfRule type="containsText" dxfId="17" priority="72" operator="containsText" text="IN PROGRESS">
      <formula>NOT(ISERROR(SEARCH("IN PROGRESS",E558)))</formula>
    </cfRule>
  </conditionalFormatting>
  <conditionalFormatting sqref="E558">
    <cfRule type="containsText" dxfId="16" priority="67" operator="containsText" text="NOT YET STARTED">
      <formula>NOT(ISERROR(SEARCH("NOT YET STARTED",E558)))</formula>
    </cfRule>
    <cfRule type="containsText" dxfId="15" priority="68" operator="containsText" text="IN PROGRESS">
      <formula>NOT(ISERROR(SEARCH("IN PROGRESS",E558)))</formula>
    </cfRule>
  </conditionalFormatting>
  <conditionalFormatting sqref="F558">
    <cfRule type="expression" priority="63">
      <formula>SEARCH("BILLING DONE", #REF!) &gt; 0</formula>
    </cfRule>
    <cfRule type="expression" dxfId="14" priority="64">
      <formula>SEARCH("NOT BILLED", #REF!) &gt; 0</formula>
    </cfRule>
  </conditionalFormatting>
  <conditionalFormatting sqref="E559">
    <cfRule type="expression" priority="3">
      <formula>SEARCH("BILLING DONE", #REF!) &gt; 0</formula>
    </cfRule>
    <cfRule type="expression" dxfId="13" priority="4">
      <formula>SEARCH("NOT BILLED", #REF!) &gt; 0</formula>
    </cfRule>
  </conditionalFormatting>
  <conditionalFormatting sqref="E559">
    <cfRule type="containsText" dxfId="12" priority="17" operator="containsText" text="COMPLETED">
      <formula>NOT(ISERROR(SEARCH("COMPLETED",E559)))</formula>
    </cfRule>
    <cfRule type="containsText" dxfId="11" priority="18" operator="containsText" text="HOLD">
      <formula>NOT(ISERROR(SEARCH("HOLD",E559)))</formula>
    </cfRule>
  </conditionalFormatting>
  <conditionalFormatting sqref="E559">
    <cfRule type="expression" priority="11">
      <formula>SEARCH("BILLING DONE", #REF!) &gt; 0</formula>
    </cfRule>
    <cfRule type="expression" dxfId="10" priority="12">
      <formula>SEARCH("NOT BILLED", #REF!) &gt; 0</formula>
    </cfRule>
  </conditionalFormatting>
  <conditionalFormatting sqref="E559">
    <cfRule type="containsText" dxfId="9" priority="13" operator="containsText" text="COMPLETED">
      <formula>NOT(ISERROR(SEARCH("COMPLETED",E559)))</formula>
    </cfRule>
    <cfRule type="containsText" dxfId="8" priority="14" operator="containsText" text="HOLD">
      <formula>NOT(ISERROR(SEARCH("HOLD",E559)))</formula>
    </cfRule>
  </conditionalFormatting>
  <conditionalFormatting sqref="E559">
    <cfRule type="containsText" dxfId="7" priority="15" operator="containsText" text="NOT YET STARTED">
      <formula>NOT(ISERROR(SEARCH("NOT YET STARTED",E559)))</formula>
    </cfRule>
    <cfRule type="containsText" dxfId="6" priority="16" operator="containsText" text="IN PROGRESS">
      <formula>NOT(ISERROR(SEARCH("IN PROGRESS",E559)))</formula>
    </cfRule>
  </conditionalFormatting>
  <conditionalFormatting sqref="E559">
    <cfRule type="expression" priority="7">
      <formula>SEARCH("BILLING DONE", #REF!) &gt; 0</formula>
    </cfRule>
    <cfRule type="expression" dxfId="5" priority="8">
      <formula>SEARCH("NOT BILLED", #REF!) &gt; 0</formula>
    </cfRule>
  </conditionalFormatting>
  <conditionalFormatting sqref="E559">
    <cfRule type="containsText" dxfId="4" priority="9" operator="containsText" text="NOT YET STARTED">
      <formula>NOT(ISERROR(SEARCH("NOT YET STARTED",E559)))</formula>
    </cfRule>
    <cfRule type="containsText" dxfId="3" priority="10" operator="containsText" text="IN PROGRESS">
      <formula>NOT(ISERROR(SEARCH("IN PROGRESS",E559)))</formula>
    </cfRule>
  </conditionalFormatting>
  <conditionalFormatting sqref="E559">
    <cfRule type="containsText" dxfId="2" priority="5" operator="containsText" text="NOT YET STARTED">
      <formula>NOT(ISERROR(SEARCH("NOT YET STARTED",E559)))</formula>
    </cfRule>
    <cfRule type="containsText" dxfId="1" priority="6" operator="containsText" text="IN PROGRESS">
      <formula>NOT(ISERROR(SEARCH("IN PROGRESS",E559)))</formula>
    </cfRule>
  </conditionalFormatting>
  <conditionalFormatting sqref="F559">
    <cfRule type="expression" priority="1">
      <formula>SEARCH("BILLING DONE", #REF!) &gt; 0</formula>
    </cfRule>
    <cfRule type="expression" dxfId="0" priority="2">
      <formula>SEARCH("NOT BILLED", #REF!) &gt; 0</formula>
    </cfRule>
  </conditionalFormatting>
  <dataValidations count="1">
    <dataValidation allowBlank="1" showInputMessage="1" showErrorMessage="1" promptTitle="DATE" prompt="JUST ENTER MM/DD" sqref="F77:F80 F182:F183 F30:F35 F82:F83 F93:F95 F21:F24 F43:F44 F51:F52 F68:F70 F89:F91 F107:F108 F4:F6 F16:F19 F26:F28 F46:F49 F54:F55 F57:F63 F97:F105 F110:F111 F113:F114 F123:F124 F72:F75 F118:F121 F144 F158 F156 F166:F167 F169:F170 F172:F173 F179:F180 F254:F255 F136:F138 F140:F142 F160:F164 F151:F154 F189 F86:F87 F251:F252 F146:F149 F366:F367 F299 F302 F339:F340 F308 F311 F314 F305 F316:F317 F326 F320 F37:F41 F191:F192 F194:F197 F513:F536 F175:F177 F8:F14 F126:F134 F351:F352 F331:F332 F381 F264:F273 F335:F336 F323 F363:F364 F287:F296 F358:F361 F247:F249 F369:F370 F276:F285 F354:F356 F394:F399 F386:F387 F401:F402 F257:F261 F377:F379 F383:F384 F65:F66 F329 F185:F187 F389:F392 F372:F375 F236:F244 F199:F234 F404:F410 F538:F552 F412:F509 F558:F559 E560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F26:F28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1st Week</vt:lpstr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RDS</cp:lastModifiedBy>
  <cp:lastPrinted>2026-04-28T06:32:24Z</cp:lastPrinted>
  <dcterms:created xsi:type="dcterms:W3CDTF">2023-03-20T10:27:38Z</dcterms:created>
  <dcterms:modified xsi:type="dcterms:W3CDTF">2026-09-05T05:09:41Z</dcterms:modified>
</cp:coreProperties>
</file>