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0F468B4-EBA1-44F4-84C3-A2F1AF0358E5}" xr6:coauthVersionLast="47" xr6:coauthVersionMax="47" xr10:uidLastSave="{00000000-0000-0000-0000-000000000000}"/>
  <bookViews>
    <workbookView xWindow="-120" yWindow="-120" windowWidth="20730" windowHeight="11040" tabRatio="666" firstSheet="1" activeTab="1" xr2:uid="{00000000-000D-0000-FFFF-FFFF00000000}"/>
  </bookViews>
  <sheets>
    <sheet name="May 1st Week" sheetId="36" r:id="rId1"/>
    <sheet name="White Cap Work Schedule" sheetId="42" r:id="rId2"/>
  </sheets>
  <definedNames>
    <definedName name="_xlnm._FilterDatabase" localSheetId="0" hidden="1">'May 1st Week'!#REF!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30" i="42" l="1"/>
  <c r="N430" i="42"/>
  <c r="M430" i="42"/>
  <c r="L430" i="42"/>
  <c r="K430" i="42"/>
  <c r="J430" i="42"/>
  <c r="F44" i="36"/>
  <c r="F23" i="36"/>
  <c r="I106" i="36"/>
  <c r="G103" i="36"/>
  <c r="F103" i="36"/>
  <c r="F93" i="36"/>
  <c r="G44" i="36"/>
  <c r="G23" i="36"/>
  <c r="J93" i="36" l="1"/>
  <c r="J44" i="36"/>
  <c r="J23" i="36"/>
</calcChain>
</file>

<file path=xl/sharedStrings.xml><?xml version="1.0" encoding="utf-8"?>
<sst xmlns="http://schemas.openxmlformats.org/spreadsheetml/2006/main" count="2526" uniqueCount="710">
  <si>
    <t>Client</t>
  </si>
  <si>
    <t>Description</t>
  </si>
  <si>
    <t>Tonnage</t>
  </si>
  <si>
    <t>Hours</t>
  </si>
  <si>
    <t>Status</t>
  </si>
  <si>
    <t>Remarks</t>
  </si>
  <si>
    <t>S.no</t>
  </si>
  <si>
    <t>Date Range</t>
  </si>
  <si>
    <t>Work in hand</t>
  </si>
  <si>
    <t>Leaves</t>
  </si>
  <si>
    <t>Permissions</t>
  </si>
  <si>
    <t>Over Time</t>
  </si>
  <si>
    <t>Bar listing &amp; FFU drawings. (Non billable work)</t>
  </si>
  <si>
    <t>Chandra Mouli</t>
  </si>
  <si>
    <t>Nanaji</t>
  </si>
  <si>
    <t>Swathi</t>
  </si>
  <si>
    <t>Sridevi</t>
  </si>
  <si>
    <t>Eswar</t>
  </si>
  <si>
    <t>Total</t>
  </si>
  <si>
    <t>Engineers</t>
  </si>
  <si>
    <t>S.No</t>
  </si>
  <si>
    <t>Rebar @ Structural Steel</t>
  </si>
  <si>
    <t>Frist Week Weight+hours</t>
  </si>
  <si>
    <t xml:space="preserve">Second week Weight + hours </t>
  </si>
  <si>
    <t>Third week weight+hours</t>
  </si>
  <si>
    <t xml:space="preserve">Fourth week Weight + hours </t>
  </si>
  <si>
    <t>Projects &amp; Actives for Above dates</t>
  </si>
  <si>
    <t>Project name</t>
  </si>
  <si>
    <t>Jagadeesh</t>
  </si>
  <si>
    <t>Foundations</t>
  </si>
  <si>
    <t>Lokesh reddy</t>
  </si>
  <si>
    <t>Vaishnavi</t>
  </si>
  <si>
    <t>Kunal</t>
  </si>
  <si>
    <t>Praveena</t>
  </si>
  <si>
    <t>Sri lalitha</t>
  </si>
  <si>
    <t>Pradeep</t>
  </si>
  <si>
    <t xml:space="preserve"> Y Siva kumar</t>
  </si>
  <si>
    <t>CIP</t>
  </si>
  <si>
    <t>127 EL Bravo Way</t>
  </si>
  <si>
    <t>Cloyd</t>
  </si>
  <si>
    <t>Ackerman Residence</t>
  </si>
  <si>
    <t xml:space="preserve"> Projects &amp; Actives Planned to This week</t>
  </si>
  <si>
    <t>Bluewater cove 11</t>
  </si>
  <si>
    <t>Bluewater cove 9</t>
  </si>
  <si>
    <t>164 Seminole</t>
  </si>
  <si>
    <t>Roy &amp; Shelley Silverman</t>
  </si>
  <si>
    <t>Burns Residence</t>
  </si>
  <si>
    <t>Valencia Del Mar Clubhouse</t>
  </si>
  <si>
    <t>910 S Ocean</t>
  </si>
  <si>
    <t>Detaielrs</t>
  </si>
  <si>
    <t>Lokesh Reddy</t>
  </si>
  <si>
    <t>Anji Reddy</t>
  </si>
  <si>
    <t>Rebar Department Weekly Project Status Report-April 2026</t>
  </si>
  <si>
    <t>Slab on grade</t>
  </si>
  <si>
    <t>320 S atlantic Drive</t>
  </si>
  <si>
    <t>Jandrews Residence</t>
  </si>
  <si>
    <t>South Florida Jewish Cemetery</t>
  </si>
  <si>
    <t>20 Hudson Ave</t>
  </si>
  <si>
    <t>Custom Residence (515 lido drive)</t>
  </si>
  <si>
    <t>1820 S Federal Hwy - Fifth Third Bank</t>
  </si>
  <si>
    <t>PBIA - Revenue Control Building</t>
  </si>
  <si>
    <t>5940 North Bay Road (NEW SINGLE FAMILY RESIDENCE)</t>
  </si>
  <si>
    <t>Completed</t>
  </si>
  <si>
    <t>Siva kumar</t>
  </si>
  <si>
    <t>Inprogress</t>
  </si>
  <si>
    <t>South Rd Office Building E</t>
  </si>
  <si>
    <t>Baig Residence</t>
  </si>
  <si>
    <t>PROJECT STATUS</t>
  </si>
  <si>
    <t>Customer</t>
  </si>
  <si>
    <t>Last updated date</t>
  </si>
  <si>
    <t>BILL STATUS</t>
  </si>
  <si>
    <t>PROJECT NAME</t>
  </si>
  <si>
    <t>SCOPE</t>
  </si>
  <si>
    <t>COMPONENTS OF WORK</t>
  </si>
  <si>
    <t>REC. DATE</t>
  </si>
  <si>
    <t>STATUS</t>
  </si>
  <si>
    <t>CUST. REQ. DATE</t>
  </si>
  <si>
    <t>EXP. WT/HRS</t>
  </si>
  <si>
    <t>DET. WT.</t>
  </si>
  <si>
    <t>EST. WT.</t>
  </si>
  <si>
    <t>EST. HRS</t>
  </si>
  <si>
    <t xml:space="preserve"> HRS</t>
  </si>
  <si>
    <t>C.O.</t>
  </si>
  <si>
    <t>DETAILER</t>
  </si>
  <si>
    <t>CHECKER</t>
  </si>
  <si>
    <t>REMARKS</t>
  </si>
  <si>
    <t>CIP&amp;CMU</t>
  </si>
  <si>
    <t>228 Rutland</t>
  </si>
  <si>
    <t>4669 S. Flagler Dr</t>
  </si>
  <si>
    <t>01-24-2026</t>
  </si>
  <si>
    <t>02-21-2026</t>
  </si>
  <si>
    <t>02-25-2026</t>
  </si>
  <si>
    <t>02-27-2026</t>
  </si>
  <si>
    <t>Cutler Bay SHS</t>
  </si>
  <si>
    <t>02-16-2026</t>
  </si>
  <si>
    <t>Felies Residence</t>
  </si>
  <si>
    <t>01-13-2026</t>
  </si>
  <si>
    <t>Harrison Residence</t>
  </si>
  <si>
    <t>01-27-2026</t>
  </si>
  <si>
    <t>01-20-2026</t>
  </si>
  <si>
    <t>Palmetto Lakes Industrial Park</t>
  </si>
  <si>
    <t>01-19-2026</t>
  </si>
  <si>
    <t>03-14-2026</t>
  </si>
  <si>
    <t>OLD PROJECTS MODIFICATIONS</t>
  </si>
  <si>
    <t>Totals</t>
  </si>
  <si>
    <t>Note: Submittal dates may change according to client request / RFI Clarification /Priorities</t>
  </si>
  <si>
    <t>White Cap</t>
  </si>
  <si>
    <t>Foundations and slab on grade</t>
  </si>
  <si>
    <t>Lift - 1 walls, Columns &amp; Beams</t>
  </si>
  <si>
    <t>Lift - 2 walls, Columns &amp; Beams</t>
  </si>
  <si>
    <t>01-27-26</t>
  </si>
  <si>
    <t>Sri Lalitha</t>
  </si>
  <si>
    <t>Valencia Del Mar Pickleball</t>
  </si>
  <si>
    <t>Lift - 1 Verticals &amp; beams</t>
  </si>
  <si>
    <t>Lift - 2 Verticals &amp; beams</t>
  </si>
  <si>
    <t>Double Dumpster Enclosure</t>
  </si>
  <si>
    <t>Single Dumpster Enclosure</t>
  </si>
  <si>
    <t>Mail Pavilion</t>
  </si>
  <si>
    <t>01-14-26</t>
  </si>
  <si>
    <t>01-23-2026</t>
  </si>
  <si>
    <t>02-18-2026</t>
  </si>
  <si>
    <t>Lift - 1 Verticals &amp; beams, 2nd floor slab &amp; beams</t>
  </si>
  <si>
    <t>Lift - 2 verticals &amp; beams, Roof slab &amp; beams</t>
  </si>
  <si>
    <t>01-29-2026</t>
  </si>
  <si>
    <t>Danush</t>
  </si>
  <si>
    <t>Kameshwari</t>
  </si>
  <si>
    <t>Frenchman's Creek Operations Center</t>
  </si>
  <si>
    <t>Building - A Foundations &amp; slab on grade</t>
  </si>
  <si>
    <t>Building - B Foundations &amp; slab on grade</t>
  </si>
  <si>
    <t>Building - C Foundations &amp; slab on grade</t>
  </si>
  <si>
    <t>Building - D Foundations &amp; slab on grade</t>
  </si>
  <si>
    <t>Building - E Foundations &amp; slab on grade</t>
  </si>
  <si>
    <t>Building - F Foundations &amp; slab on grade</t>
  </si>
  <si>
    <t>01-26-2026</t>
  </si>
  <si>
    <t>01-21-2026</t>
  </si>
  <si>
    <t>01-28-2026</t>
  </si>
  <si>
    <t>01-31-2026</t>
  </si>
  <si>
    <t>Narayana</t>
  </si>
  <si>
    <t>Miami Shores Residence (R+R bluenest)</t>
  </si>
  <si>
    <t>Lift - 1 Verticals, 2nd floor slab &amp; beams</t>
  </si>
  <si>
    <t>Lift - 2 Verticals and Roof beams</t>
  </si>
  <si>
    <t>03-20-2026</t>
  </si>
  <si>
    <t>02-14-2026</t>
  </si>
  <si>
    <t>City of temple terrace-fire station #01</t>
  </si>
  <si>
    <t>Lift - 1 Verticals and Bond beams</t>
  </si>
  <si>
    <t>Low Roof beams &amp; Slab</t>
  </si>
  <si>
    <t>Lift - 2 Verticals, Bond beams &amp; Roof beams</t>
  </si>
  <si>
    <t>02-19-2026</t>
  </si>
  <si>
    <t>Allu Sai</t>
  </si>
  <si>
    <t>Siva Kumar</t>
  </si>
  <si>
    <t>Lift - 1 Verticals and Beams</t>
  </si>
  <si>
    <t>Blue Water Cove 6</t>
  </si>
  <si>
    <t>Foundations &amp; slab on grade</t>
  </si>
  <si>
    <t>Allu Sai/Nanaji</t>
  </si>
  <si>
    <t>Lift-1 &amp; 2 Verticals, 2nd floor slab, &amp; Roof beams</t>
  </si>
  <si>
    <t>03-18-2026</t>
  </si>
  <si>
    <t>Blue Water Cove 3</t>
  </si>
  <si>
    <t>02-24-2026</t>
  </si>
  <si>
    <t>Lift - 1 Verticals and Roof beams</t>
  </si>
  <si>
    <t>03-16-2026</t>
  </si>
  <si>
    <t>02-17-2026</t>
  </si>
  <si>
    <t>Level - 1 Foundations</t>
  </si>
  <si>
    <t>Basement Walls</t>
  </si>
  <si>
    <t>Basement Foundations</t>
  </si>
  <si>
    <t>Lift - 1 Verticals</t>
  </si>
  <si>
    <t>03-28-2026</t>
  </si>
  <si>
    <t>Roof beams</t>
  </si>
  <si>
    <t>03-31-2026</t>
  </si>
  <si>
    <t>Lift - 2 Verticals</t>
  </si>
  <si>
    <t>Lift - 1 Beams</t>
  </si>
  <si>
    <t>Lift - 1 Verticals and beams</t>
  </si>
  <si>
    <t>Lift - 3 Verticals and High Roof slab &amp; beams</t>
  </si>
  <si>
    <t>Lift - 2 Verticals and Low Roof slab &amp; beams</t>
  </si>
  <si>
    <t>Lift - 2 Verticals &amp; Roof beams</t>
  </si>
  <si>
    <t>03-21-2026</t>
  </si>
  <si>
    <t>BOKOR 432 SUNSHINE BLVD</t>
  </si>
  <si>
    <t>03-13-2026</t>
  </si>
  <si>
    <t>143 Reef Road</t>
  </si>
  <si>
    <t>Lift - 1 Beams &amp; 2nd floor slab</t>
  </si>
  <si>
    <t>1050 N Lake way</t>
  </si>
  <si>
    <t>02-23-2026</t>
  </si>
  <si>
    <t>Lokesh Reddy/Nanaji</t>
  </si>
  <si>
    <t>03-27-2026</t>
  </si>
  <si>
    <t>Lift - 2 Verticals and beams</t>
  </si>
  <si>
    <t>Not Yet Started</t>
  </si>
  <si>
    <t>Footings &amp; Stem Walls</t>
  </si>
  <si>
    <t>Stem wall &amp; Slab on grade</t>
  </si>
  <si>
    <t>02-20-2026</t>
  </si>
  <si>
    <t>03-11.-2026</t>
  </si>
  <si>
    <t>03-20.-2026</t>
  </si>
  <si>
    <t>03-24-2026</t>
  </si>
  <si>
    <t xml:space="preserve">Basement Foundations </t>
  </si>
  <si>
    <t>Lift - 1 Verticals &amp; roof beams</t>
  </si>
  <si>
    <t>Retaining wall &amp; Planter walls &amp; stairs</t>
  </si>
  <si>
    <t>04-21-2026</t>
  </si>
  <si>
    <t>04-18-2026</t>
  </si>
  <si>
    <t>Lift - 2 Verticals and Beams</t>
  </si>
  <si>
    <t>5900 Powerline Garage</t>
  </si>
  <si>
    <t>04-20-2026</t>
  </si>
  <si>
    <t>04-16-2026</t>
  </si>
  <si>
    <t>Lift - 1 Verticals and Roof Beams</t>
  </si>
  <si>
    <t>Lift - 1 Verticals, 2nd Floor slab &amp; beams</t>
  </si>
  <si>
    <t>50 SE OLIVE</t>
  </si>
  <si>
    <t>Foundations &amp; columns</t>
  </si>
  <si>
    <t>Bond beams</t>
  </si>
  <si>
    <t>03-26-2026</t>
  </si>
  <si>
    <t>04-24-2026</t>
  </si>
  <si>
    <t>04-27-2026</t>
  </si>
  <si>
    <t>04-23-2026</t>
  </si>
  <si>
    <t>Monument walls</t>
  </si>
  <si>
    <t>3rd Floor tie beams</t>
  </si>
  <si>
    <t>04-28-2026</t>
  </si>
  <si>
    <t>04-22-2026</t>
  </si>
  <si>
    <t>Lokesh/vaishnavi</t>
  </si>
  <si>
    <t>6017 Le Lac Road (Weiner Residence)</t>
  </si>
  <si>
    <t xml:space="preserve">Foundations and slab on grade (East Garage) </t>
  </si>
  <si>
    <t xml:space="preserve">Lift - 1 Verticals and Roof beams (East Garage) </t>
  </si>
  <si>
    <t xml:space="preserve">Foundations and slab on grade (Main Building) </t>
  </si>
  <si>
    <t xml:space="preserve">Lift - 1 Verticals, 2nd floor slab and beams (Main Building) </t>
  </si>
  <si>
    <t>Lift - 2 Verticals and roof beams</t>
  </si>
  <si>
    <t>Lift - 2 Verticals and roof beams (Main Building)</t>
  </si>
  <si>
    <t>Foundations and slab on grade (2-story residence)</t>
  </si>
  <si>
    <t>Lift - 1 Verticals, 2nd floor slab and beams (2-story residence)</t>
  </si>
  <si>
    <t>Lift - 2 Verticals and roof beams (2-story residence)</t>
  </si>
  <si>
    <t>Foundations and slab on grade (site work)</t>
  </si>
  <si>
    <t>03-25-2026</t>
  </si>
  <si>
    <t>Sridevi/Vaishnavi</t>
  </si>
  <si>
    <t>Lift - 1 Verticals, 2nd floor slab and beams</t>
  </si>
  <si>
    <t>6024 Lelac Rd</t>
  </si>
  <si>
    <t>Lift - 1 Verticals, loft floor slab &amp; beams</t>
  </si>
  <si>
    <t>Foundations &amp; slab on grade (Summer kitchen)</t>
  </si>
  <si>
    <t>Lift - 1 Verticals, slab and beams (Summer kitchen)</t>
  </si>
  <si>
    <t>SW Ranches</t>
  </si>
  <si>
    <t>Lower Roof Deck</t>
  </si>
  <si>
    <t>04-30-2026</t>
  </si>
  <si>
    <t xml:space="preserve">Lift - 1 Verticals </t>
  </si>
  <si>
    <t>Qc not yet done</t>
  </si>
  <si>
    <t>Project management</t>
  </si>
  <si>
    <t>Estimations and rebar detailing</t>
  </si>
  <si>
    <t>Rebar Detailing</t>
  </si>
  <si>
    <t>Rebar Detailing/QC</t>
  </si>
  <si>
    <t>05/04/2026 to 05/09/2026</t>
  </si>
  <si>
    <t>Sridivi/Nanaji</t>
  </si>
  <si>
    <t>QC STATUS</t>
  </si>
  <si>
    <t>NOT YET STARTED</t>
  </si>
  <si>
    <t>Nanaji/pradeep</t>
  </si>
  <si>
    <t>1333 Bvld</t>
  </si>
  <si>
    <t>Barlists</t>
  </si>
  <si>
    <t>Shear walls and columns Barlists</t>
  </si>
  <si>
    <t>High Priority</t>
  </si>
  <si>
    <t>Slab on grade Barlists</t>
  </si>
  <si>
    <t>Foundations Barlists</t>
  </si>
  <si>
    <t>Lokesh</t>
  </si>
  <si>
    <t>Vaishnavi/Shiva</t>
  </si>
  <si>
    <t>Chandra Mouli/NNJ</t>
  </si>
  <si>
    <t>COMPLETED</t>
  </si>
  <si>
    <t>Emds</t>
  </si>
  <si>
    <t>Comments received on basement R1series dwgs</t>
  </si>
  <si>
    <t>Comments received on pool cabana &amp; outdoor kitchen</t>
  </si>
  <si>
    <t>Sridevi / Vaishnavi</t>
  </si>
  <si>
    <t>6024 Le lac Rd</t>
  </si>
  <si>
    <t>Barlists requested for 2story building lift - 1 verticals</t>
  </si>
  <si>
    <t xml:space="preserve">Lift - 1 Verticals and beams </t>
  </si>
  <si>
    <t>559 Nw 43 st</t>
  </si>
  <si>
    <t>Stairs barlists</t>
  </si>
  <si>
    <t>2651 Southcast 10th court</t>
  </si>
  <si>
    <t>Pool deck slab and beams</t>
  </si>
  <si>
    <t xml:space="preserve"> </t>
  </si>
  <si>
    <t>2nd Floor slab</t>
  </si>
  <si>
    <t>NANAJI</t>
  </si>
  <si>
    <t>Tennis &amp; Bocce Courts Restrooms</t>
  </si>
  <si>
    <t>Country inn Pet Resort</t>
  </si>
  <si>
    <t>Asap Job</t>
  </si>
  <si>
    <t>Rfi-029 received on foundaitons</t>
  </si>
  <si>
    <t>Sands residence (3223 N Ocean)</t>
  </si>
  <si>
    <t>Ssk-017 Received for 2nd for slab at balcony</t>
  </si>
  <si>
    <t>Foundations (Grade beams)</t>
  </si>
  <si>
    <t>Nanaji/Sridevi</t>
  </si>
  <si>
    <t>CLIENT SUB. DATE</t>
  </si>
  <si>
    <t>Vaishnavi/Sridevi</t>
  </si>
  <si>
    <t>5900 Powerline Garag</t>
  </si>
  <si>
    <t>Slab on grade, Lift - 1 Verticals and Roof beams</t>
  </si>
  <si>
    <t>Grade beams</t>
  </si>
  <si>
    <t>Licata Residence 2726 Appaloosa trail</t>
  </si>
  <si>
    <t>2nd lift - 2 verticals and beams</t>
  </si>
  <si>
    <t xml:space="preserve">2nd floor slab </t>
  </si>
  <si>
    <t>Lift - 1  slab &amp; Beams</t>
  </si>
  <si>
    <t>Lift - 1 Verticals and beams (pour-1)</t>
  </si>
  <si>
    <t>Lift - 1 Verticals and beams (pour-2)</t>
  </si>
  <si>
    <t>05-15-2026</t>
  </si>
  <si>
    <t>2960 Greenbriair</t>
  </si>
  <si>
    <t>Gallery at Somi Parc Phase 1</t>
  </si>
  <si>
    <t>Lift - 1 verticals and beams</t>
  </si>
  <si>
    <t>Lift - 2 verticals and beams</t>
  </si>
  <si>
    <t>05-13-2026</t>
  </si>
  <si>
    <t>05-14-2026</t>
  </si>
  <si>
    <t>05-22-2026</t>
  </si>
  <si>
    <t>06-19-2026</t>
  </si>
  <si>
    <t>06-26-2026</t>
  </si>
  <si>
    <t>05-18-2026</t>
  </si>
  <si>
    <t>6007 Le Lac (Furing residence)</t>
  </si>
  <si>
    <t>Foundations &amp; Walls (scope added)</t>
  </si>
  <si>
    <t>O.B. (Scattered Lots)</t>
  </si>
  <si>
    <t>CIP &amp; CMU</t>
  </si>
  <si>
    <t>90 Stingaree</t>
  </si>
  <si>
    <t>840 Denery Ln. Residence</t>
  </si>
  <si>
    <t>05-16-2026</t>
  </si>
  <si>
    <t>05-21-2026</t>
  </si>
  <si>
    <t>Foundaitons &amp; sog.</t>
  </si>
  <si>
    <t>2nd floor slab &amp; Beams</t>
  </si>
  <si>
    <t>Lift-2 verticals &amp; Roof beams</t>
  </si>
  <si>
    <t>DETAILER STATUS</t>
  </si>
  <si>
    <t>QC SUB. DATE2</t>
  </si>
  <si>
    <t>ESWAR</t>
  </si>
  <si>
    <t>PDF CHECK ONLY</t>
  </si>
  <si>
    <t>05-19-2026</t>
  </si>
  <si>
    <t>…</t>
  </si>
  <si>
    <t>05-20-2026</t>
  </si>
  <si>
    <t>Lift - 1 verticals</t>
  </si>
  <si>
    <t>Foundations (Garage)</t>
  </si>
  <si>
    <t>Slab on grade (Garage)</t>
  </si>
  <si>
    <t>Columns (Garage)</t>
  </si>
  <si>
    <t>Shear walls (Garage)</t>
  </si>
  <si>
    <t>2nd Floor slab (Garage)</t>
  </si>
  <si>
    <t>3rd Floor slab (Garage)</t>
  </si>
  <si>
    <t>4th Floor slab (Garage)</t>
  </si>
  <si>
    <t>5th Floor slab (Garage)</t>
  </si>
  <si>
    <t>6th Floor slab (Garage)</t>
  </si>
  <si>
    <t>2nd Floor slab (Residential)</t>
  </si>
  <si>
    <t>3rd Floor slab (Residential)</t>
  </si>
  <si>
    <t>4th Floor slab (Residential)</t>
  </si>
  <si>
    <t>5th Floor slab (Residential)</t>
  </si>
  <si>
    <t>6th Floor slab (Residential)</t>
  </si>
  <si>
    <t>7th Floor slab (Residential)</t>
  </si>
  <si>
    <t>8th Floor slab (Residential)</t>
  </si>
  <si>
    <t>9th Floor slab (Residential)</t>
  </si>
  <si>
    <t>10th Floor slab (Residential)</t>
  </si>
  <si>
    <t xml:space="preserve">11th Floor slab (Residential) </t>
  </si>
  <si>
    <t>12th Floor slab (Residential)</t>
  </si>
  <si>
    <t>13th Floor slab (Residential)</t>
  </si>
  <si>
    <t>14th Floor slab (Residential)</t>
  </si>
  <si>
    <t>15th floor slab (Residential)</t>
  </si>
  <si>
    <t>Roof Floor slab (Residential)</t>
  </si>
  <si>
    <t>Nuvo</t>
  </si>
  <si>
    <t>Bldg. Type 1 (A, C, D &amp; G)</t>
  </si>
  <si>
    <t>Elevator Pits &amp; Stairs, Bg Thru 1st lift</t>
  </si>
  <si>
    <t>2nd Flr. Thru 2nd lift &amp; 2nd floor beams</t>
  </si>
  <si>
    <t>3rd Flr. Thru 3rd lift &amp; 3rd floor beams</t>
  </si>
  <si>
    <t>4th Flr. Thru Roof &amp; Abv Roof beams</t>
  </si>
  <si>
    <t>Bldg. Type 2 (E &amp; H)</t>
  </si>
  <si>
    <t>Bldg. Type 3 (B &amp; F)</t>
  </si>
  <si>
    <t>Bus Shelter - Footings</t>
  </si>
  <si>
    <t>Bg Thru 1st lift</t>
  </si>
  <si>
    <t>Clubhouse</t>
  </si>
  <si>
    <t>Bg Thru Abv Roof beams</t>
  </si>
  <si>
    <t>Garage Type 1</t>
  </si>
  <si>
    <t>Garage Type 2</t>
  </si>
  <si>
    <t>Mail Kiosk - Slab on grade</t>
  </si>
  <si>
    <t>Trash Compactor</t>
  </si>
  <si>
    <t>Pool Pavilion</t>
  </si>
  <si>
    <t>Bg Thru Roof beams</t>
  </si>
  <si>
    <t>Raised Planters</t>
  </si>
  <si>
    <t>BBQ Station</t>
  </si>
  <si>
    <t>Cabana Footings</t>
  </si>
  <si>
    <t>Trellis Footings</t>
  </si>
  <si>
    <t>Retaining Wall</t>
  </si>
  <si>
    <t>07-24-2026</t>
  </si>
  <si>
    <t>07-17-2026</t>
  </si>
  <si>
    <t>05/26/26</t>
  </si>
  <si>
    <t>05-25-2026</t>
  </si>
  <si>
    <t>The Syed Residence</t>
  </si>
  <si>
    <t>Foundations &amp; Slab on grade</t>
  </si>
  <si>
    <t>810 S Swinton Ave Residence</t>
  </si>
  <si>
    <t xml:space="preserve">Lift - 2 verticals and beams </t>
  </si>
  <si>
    <t>05-23-2026</t>
  </si>
  <si>
    <t>05-26-2026</t>
  </si>
  <si>
    <t>Revised drawings</t>
  </si>
  <si>
    <t>Revised drawings received on cmu verticals</t>
  </si>
  <si>
    <t>Patch</t>
  </si>
  <si>
    <t>Need patch lists for cmu walls at stem walls</t>
  </si>
  <si>
    <t>Lift -1 verticals barlists</t>
  </si>
  <si>
    <t>2651 SE 10th Court</t>
  </si>
  <si>
    <t>Pool deck slab and beams barlists</t>
  </si>
  <si>
    <t>Stem walls barlists</t>
  </si>
  <si>
    <t>Update received on the pool deck</t>
  </si>
  <si>
    <t>Lift - 1 verticals and beams for Blue section</t>
  </si>
  <si>
    <t>401 SE Atlantic Drive</t>
  </si>
  <si>
    <t>Barlists for R3 series drawings</t>
  </si>
  <si>
    <t>Orange section #2 1st lift verticals</t>
  </si>
  <si>
    <t>Lift - 1 verticals section #3</t>
  </si>
  <si>
    <t>Updated drawings</t>
  </si>
  <si>
    <t>1st floor beams and second floor slab</t>
  </si>
  <si>
    <t>515 Lido Drive</t>
  </si>
  <si>
    <t>Column ties for upto 4'-0"</t>
  </si>
  <si>
    <t>Garage slab barlists</t>
  </si>
  <si>
    <t>cannatelli</t>
  </si>
  <si>
    <t>Foundations and slab on grade Barlists</t>
  </si>
  <si>
    <t>1042 Palm Way Road</t>
  </si>
  <si>
    <t>Roof beams and slab</t>
  </si>
  <si>
    <t>Comments received on 1st lift verticals and beams</t>
  </si>
  <si>
    <t>Basement slab barlists</t>
  </si>
  <si>
    <t>05-27-2026</t>
  </si>
  <si>
    <t>Lift - 2 verticals and beams for green section #2</t>
  </si>
  <si>
    <t>05-28-2026</t>
  </si>
  <si>
    <t>Lift - 2 verticals and beams for Yellow section #1</t>
  </si>
  <si>
    <t>Slab on grade barlists</t>
  </si>
  <si>
    <t>1900 NE 22ND Terrance</t>
  </si>
  <si>
    <t>Comments received on slab on grade</t>
  </si>
  <si>
    <t>Foundaitons &amp; Slab on grade</t>
  </si>
  <si>
    <t>Lift - 1 verticals and bond beams</t>
  </si>
  <si>
    <t>2nd floor slab &amp; beams</t>
  </si>
  <si>
    <t>05-30-2026</t>
  </si>
  <si>
    <t>Lift - 2 verticals and bond beams</t>
  </si>
  <si>
    <t>siav kumar</t>
  </si>
  <si>
    <t>eswar/siav kumar</t>
  </si>
  <si>
    <t>Lift - 1 Verticals and beams (pour-3) &amp; (pour-4)</t>
  </si>
  <si>
    <t>Lift - 2 Verticals and beams (pour-2)</t>
  </si>
  <si>
    <t>Lift - 2 Verticals and beams (pour-1)</t>
  </si>
  <si>
    <t>Eswar/PDF CHECK ONLY &amp; BAR LIST SEND</t>
  </si>
  <si>
    <t>Monument sign</t>
  </si>
  <si>
    <t>Custom Residence (134 Worth CTN)</t>
  </si>
  <si>
    <t xml:space="preserve">Foundations </t>
  </si>
  <si>
    <t>05-29-2026</t>
  </si>
  <si>
    <t>06-17-2026</t>
  </si>
  <si>
    <t>Balaram</t>
  </si>
  <si>
    <t>Rancano</t>
  </si>
  <si>
    <t>Lift - 1 verticals and Roof beams</t>
  </si>
  <si>
    <t>799 Park Drive</t>
  </si>
  <si>
    <t>06-13-2026</t>
  </si>
  <si>
    <t>siva kumar</t>
  </si>
  <si>
    <t>06-23-2026</t>
  </si>
  <si>
    <t>06-15-2026</t>
  </si>
  <si>
    <t>06-16-2026</t>
  </si>
  <si>
    <t>Lokesh Reddy/Siva kumar</t>
  </si>
  <si>
    <t>Eswar/Nanaji</t>
  </si>
  <si>
    <t>Praveena/Sridevi</t>
  </si>
  <si>
    <t>Columns (Residential) lift - 1 verticals</t>
  </si>
  <si>
    <t>Shear walls (Residential)  lift - 1 verticals</t>
  </si>
  <si>
    <t>Cmu walls lift - 1 verticals</t>
  </si>
  <si>
    <t>Shear walls (Residential)  lift - 2 verticals</t>
  </si>
  <si>
    <t>Cmu walls lift - 2 verticals</t>
  </si>
  <si>
    <t>Columns (Residential) lift - 3 verticals</t>
  </si>
  <si>
    <t>Columns (Residential) lift - 2 verticals</t>
  </si>
  <si>
    <t>Cmu walls lift - 3 verticals</t>
  </si>
  <si>
    <t>Shear walls (Residential)  lift - 3 verticals</t>
  </si>
  <si>
    <t>Columns (Residential) lift - 4 verticals</t>
  </si>
  <si>
    <t>Shear walls (Residential)  lift - 4 verticals</t>
  </si>
  <si>
    <t>Cmu walls lift - 4 verticals</t>
  </si>
  <si>
    <t>Columns (Residential) lift - 5 verticals</t>
  </si>
  <si>
    <t>Shear walls (Residential)  lift - 5 verticals</t>
  </si>
  <si>
    <t>Cmu walls lift - 5 verticals</t>
  </si>
  <si>
    <t>Columns (Residential) lift - 6 verticals</t>
  </si>
  <si>
    <t>Shear walls (Residential)  lift - 6 verticals</t>
  </si>
  <si>
    <t>Cmu walls lift - 6 verticals</t>
  </si>
  <si>
    <t>Columns (Residential) lift - 7 verticals</t>
  </si>
  <si>
    <t>Shear walls (Residential)  lift - 7 verticals</t>
  </si>
  <si>
    <t>Cmu walls lift - 7 verticals</t>
  </si>
  <si>
    <t>Columns (Residential) lift - 8 verticals</t>
  </si>
  <si>
    <t>Shear walls (Residential)  lift - 8 verticals</t>
  </si>
  <si>
    <t>Cmu walls lift - 8 verticals</t>
  </si>
  <si>
    <t>Columns (Residential) lift - 9 verticals</t>
  </si>
  <si>
    <t>Shear walls (Residential)  lift - 9 verticals</t>
  </si>
  <si>
    <t>Cmu walls lift - 9 verticals</t>
  </si>
  <si>
    <t>Columns (Residential) lift - 10 verticals</t>
  </si>
  <si>
    <t>Shear walls (Residential)  lift - 10 verticals</t>
  </si>
  <si>
    <t>Cmu walls lift - 10 verticals</t>
  </si>
  <si>
    <t>Columns (Residential) lift - 11 verticals</t>
  </si>
  <si>
    <t>Shear walls (Residential)  lift - 11 verticals</t>
  </si>
  <si>
    <t>Cmu walls lift - 11 verticals</t>
  </si>
  <si>
    <t>Columns (Residential) lift - 12 verticals</t>
  </si>
  <si>
    <t>Shear walls (Residential)  lift - 12 verticals</t>
  </si>
  <si>
    <t>Cmu walls lift - 12 verticals</t>
  </si>
  <si>
    <t>Columns (Residential) lift - 13 verticals</t>
  </si>
  <si>
    <t>Shear walls (Residential)  lift - 13 verticals</t>
  </si>
  <si>
    <t>Cmu walls lift - 13 verticals</t>
  </si>
  <si>
    <t>Columns (Residential) lift - 14 verticals</t>
  </si>
  <si>
    <t>Shear walls (Residential)  lift - 14 verticals</t>
  </si>
  <si>
    <t>Cmu walls lift - 14 verticals</t>
  </si>
  <si>
    <t>Columns (Residential) lift - 15 verticals</t>
  </si>
  <si>
    <t>Shear walls (Residential)  lift - 15 verticals</t>
  </si>
  <si>
    <t>Cmu walls lift - 15 verticals</t>
  </si>
  <si>
    <t>Columns (Residential) lift - 16 verticals</t>
  </si>
  <si>
    <t>Shear walls (Residential)  lift - 16 verticals</t>
  </si>
  <si>
    <t>Cmu walls lift - 16 verticals</t>
  </si>
  <si>
    <t>Parapet walls (Residential) verticals</t>
  </si>
  <si>
    <t>Chateau De La Duchess (925 Hillsboro)</t>
  </si>
  <si>
    <t>Entry Garages foundations and slab on grade</t>
  </si>
  <si>
    <t>Entry Garages lift - 1 verticals and beams</t>
  </si>
  <si>
    <t>Entry Garages lift - 2 verticals and beams</t>
  </si>
  <si>
    <t>08-25-2025</t>
  </si>
  <si>
    <t>06-18-2026</t>
  </si>
  <si>
    <t>Cabana slab on grade</t>
  </si>
  <si>
    <t>Pavan sai</t>
  </si>
  <si>
    <t>Lift - 2 Verticals and beams (pour-3)</t>
  </si>
  <si>
    <t>Masucci Residence</t>
  </si>
  <si>
    <t>2nd floor slab and beams</t>
  </si>
  <si>
    <t>06-18-2025</t>
  </si>
  <si>
    <t>06-20-2026</t>
  </si>
  <si>
    <t>The Bueller family</t>
  </si>
  <si>
    <t>06-20-2025</t>
  </si>
  <si>
    <t>SPOTLOT 28810 SW 207 AVE</t>
  </si>
  <si>
    <t>Broken Sound Club</t>
  </si>
  <si>
    <t>Updated drawings received (Cantilever Beams)</t>
  </si>
  <si>
    <t>Foundations (Residential) part - 2</t>
  </si>
  <si>
    <t>Foundations (Residential) part - 1</t>
  </si>
  <si>
    <t>Slab on grade (Residential) part - 1 &amp; 2</t>
  </si>
  <si>
    <t>06-25-2026</t>
  </si>
  <si>
    <t>Chandra mouli</t>
  </si>
  <si>
    <t>eswar</t>
  </si>
  <si>
    <t xml:space="preserve">Lokesh </t>
  </si>
  <si>
    <t>Sai</t>
  </si>
  <si>
    <t>05-14-2027</t>
  </si>
  <si>
    <t>05-14-2028</t>
  </si>
  <si>
    <t>05-14-2029</t>
  </si>
  <si>
    <t>05-14-2030</t>
  </si>
  <si>
    <t>05-14-2031</t>
  </si>
  <si>
    <t>05-14-2032</t>
  </si>
  <si>
    <t>05-14-2033</t>
  </si>
  <si>
    <t>05-14-2034</t>
  </si>
  <si>
    <t>05-14-2035</t>
  </si>
  <si>
    <t>05-14-2036</t>
  </si>
  <si>
    <t>05-14-2037</t>
  </si>
  <si>
    <t>05-14-2038</t>
  </si>
  <si>
    <t>05-14-2039</t>
  </si>
  <si>
    <t>05-14-2040</t>
  </si>
  <si>
    <t>05-14-2041</t>
  </si>
  <si>
    <t>05-14-2042</t>
  </si>
  <si>
    <t>05-14-2043</t>
  </si>
  <si>
    <t>05-14-2044</t>
  </si>
  <si>
    <t>05-14-2045</t>
  </si>
  <si>
    <t>05-14-2046</t>
  </si>
  <si>
    <t>05-14-2047</t>
  </si>
  <si>
    <t>05-14-2048</t>
  </si>
  <si>
    <t>05-14-2049</t>
  </si>
  <si>
    <t>05-14-2050</t>
  </si>
  <si>
    <t>05-14-2051</t>
  </si>
  <si>
    <t>05-14-2052</t>
  </si>
  <si>
    <t>05-14-2053</t>
  </si>
  <si>
    <t>05-14-2054</t>
  </si>
  <si>
    <t>05-14-2055</t>
  </si>
  <si>
    <t>05-14-2056</t>
  </si>
  <si>
    <t>05-14-2057</t>
  </si>
  <si>
    <t>05-14-2058</t>
  </si>
  <si>
    <t>05-14-2059</t>
  </si>
  <si>
    <t>05-14-2060</t>
  </si>
  <si>
    <t>05-14-2061</t>
  </si>
  <si>
    <t>05-14-2062</t>
  </si>
  <si>
    <t>05-14-2063</t>
  </si>
  <si>
    <t>05-14-2064</t>
  </si>
  <si>
    <t>05-14-2065</t>
  </si>
  <si>
    <t>05-14-2066</t>
  </si>
  <si>
    <t>05-14-2067</t>
  </si>
  <si>
    <t>05-14-2068</t>
  </si>
  <si>
    <t>05-14-2069</t>
  </si>
  <si>
    <t>05-14-2070</t>
  </si>
  <si>
    <t>05-14-2071</t>
  </si>
  <si>
    <t>05-14-2072</t>
  </si>
  <si>
    <t>05-14-2073</t>
  </si>
  <si>
    <t>05-14-2074</t>
  </si>
  <si>
    <t>05-14-2075</t>
  </si>
  <si>
    <t>05-14-2076</t>
  </si>
  <si>
    <t>05-14-2077</t>
  </si>
  <si>
    <t>05-14-2078</t>
  </si>
  <si>
    <t>05-14-2079</t>
  </si>
  <si>
    <t>05-14-2080</t>
  </si>
  <si>
    <t>05-14-2081</t>
  </si>
  <si>
    <t>05-14-2082</t>
  </si>
  <si>
    <t>05-14-2083</t>
  </si>
  <si>
    <t>05-14-2084</t>
  </si>
  <si>
    <t>05-15-2027</t>
  </si>
  <si>
    <t>05-16-2027</t>
  </si>
  <si>
    <t>05-16-2028</t>
  </si>
  <si>
    <t>05-16-2029</t>
  </si>
  <si>
    <t>05-16-2030</t>
  </si>
  <si>
    <t>City of temple terrace-fire station #02</t>
  </si>
  <si>
    <t>City of temple terrace-fire station #03</t>
  </si>
  <si>
    <t>City of temple terrace-fire station #04</t>
  </si>
  <si>
    <t>229 Rutland</t>
  </si>
  <si>
    <t>230 Rutland</t>
  </si>
  <si>
    <t>231 Rutland</t>
  </si>
  <si>
    <t>4670 S. Flagler Dr</t>
  </si>
  <si>
    <t>4671 S. Flagler Dr</t>
  </si>
  <si>
    <t>4672 S. Flagler Dr</t>
  </si>
  <si>
    <t>128 EL Bravo Way</t>
  </si>
  <si>
    <t>129 EL Bravo Way</t>
  </si>
  <si>
    <t>130 EL Bravo Way</t>
  </si>
  <si>
    <t>131 EL Bravo Way</t>
  </si>
  <si>
    <t>132 EL Bravo Way</t>
  </si>
  <si>
    <t>133 EL Bravo Way</t>
  </si>
  <si>
    <t>Blue Water Cove 7</t>
  </si>
  <si>
    <t>1051 N Lake way</t>
  </si>
  <si>
    <t>1052 N Lake way</t>
  </si>
  <si>
    <t>144 Reef Road</t>
  </si>
  <si>
    <t>145 Reef Road</t>
  </si>
  <si>
    <t>146 Reef Road</t>
  </si>
  <si>
    <t>Blue Water Cove 4</t>
  </si>
  <si>
    <t>6018 Le Lac Road (Weiner Residence)</t>
  </si>
  <si>
    <t>6019 Le Lac Road (Weiner Residence)</t>
  </si>
  <si>
    <t>6020 Le Lac Road (Weiner Residence)</t>
  </si>
  <si>
    <t>6021 Le Lac Road (Weiner Residence)</t>
  </si>
  <si>
    <t>6022 Le Lac Road (Weiner Residence)</t>
  </si>
  <si>
    <t>6023 Le Lac Road (Weiner Residence)</t>
  </si>
  <si>
    <t>6024 Le Lac Road (Weiner Residence)</t>
  </si>
  <si>
    <t>Bluewater cove 12</t>
  </si>
  <si>
    <t>Bluewater cove 10</t>
  </si>
  <si>
    <t>165 Seminole</t>
  </si>
  <si>
    <t>51 SE OLIVE</t>
  </si>
  <si>
    <t>911 S Ocean</t>
  </si>
  <si>
    <t>912 S Ocean</t>
  </si>
  <si>
    <t>321 S atlantic Drive</t>
  </si>
  <si>
    <t>322 S atlantic Drive</t>
  </si>
  <si>
    <t>323 S atlantic Drive</t>
  </si>
  <si>
    <t>6025 Lelac Rd</t>
  </si>
  <si>
    <t>6026 Lelac Rd</t>
  </si>
  <si>
    <t>6027 Lelac Rd</t>
  </si>
  <si>
    <t>6028 Lelac Rd</t>
  </si>
  <si>
    <t>5901 Powerline Garag</t>
  </si>
  <si>
    <t>1821 S Federal Hwy - Fifth Third Bank</t>
  </si>
  <si>
    <t>21 Hudson Ave</t>
  </si>
  <si>
    <t>22 Hudson Ave</t>
  </si>
  <si>
    <t>2961 Greenbriair</t>
  </si>
  <si>
    <t>2962 Greenbriair</t>
  </si>
  <si>
    <t>2963 Greenbriair</t>
  </si>
  <si>
    <t>Gallery at Somi Parc Phase 2</t>
  </si>
  <si>
    <t>Gallery at Somi Parc Phase 3</t>
  </si>
  <si>
    <t>Gallery at Somi Parc Phase 4</t>
  </si>
  <si>
    <t>Gallery at Somi Parc Phase 5</t>
  </si>
  <si>
    <t>Gallery at Somi Parc Phase 6</t>
  </si>
  <si>
    <t>Gallery at Somi Parc Phase 7</t>
  </si>
  <si>
    <t>Gallery at Somi Parc Phase 8</t>
  </si>
  <si>
    <t>Gallery at Somi Parc Phase 9</t>
  </si>
  <si>
    <t>Gallery at Somi Parc Phase 10</t>
  </si>
  <si>
    <t>Gallery at Somi Parc Phase 11</t>
  </si>
  <si>
    <t>Gallery at Somi Parc Phase 12</t>
  </si>
  <si>
    <t>Gallery at Somi Parc Phase 13</t>
  </si>
  <si>
    <t>Gallery at Somi Parc Phase 14</t>
  </si>
  <si>
    <t>Gallery at Somi Parc Phase 15</t>
  </si>
  <si>
    <t>Gallery at Somi Parc Phase 16</t>
  </si>
  <si>
    <t>Gallery at Somi Parc Phase 17</t>
  </si>
  <si>
    <t>Gallery at Somi Parc Phase 18</t>
  </si>
  <si>
    <t>Gallery at Somi Parc Phase 19</t>
  </si>
  <si>
    <t>Gallery at Somi Parc Phase 20</t>
  </si>
  <si>
    <t>Gallery at Somi Parc Phase 21</t>
  </si>
  <si>
    <t>Gallery at Somi Parc Phase 22</t>
  </si>
  <si>
    <t>Gallery at Somi Parc Phase 23</t>
  </si>
  <si>
    <t>Gallery at Somi Parc Phase 24</t>
  </si>
  <si>
    <t>Gallery at Somi Parc Phase 25</t>
  </si>
  <si>
    <t>Gallery at Somi Parc Phase 26</t>
  </si>
  <si>
    <t>Gallery at Somi Parc Phase 27</t>
  </si>
  <si>
    <t>Gallery at Somi Parc Phase 28</t>
  </si>
  <si>
    <t>Gallery at Somi Parc Phase 29</t>
  </si>
  <si>
    <t>Gallery at Somi Parc Phase 30</t>
  </si>
  <si>
    <t>Gallery at Somi Parc Phase 31</t>
  </si>
  <si>
    <t>Gallery at Somi Parc Phase 32</t>
  </si>
  <si>
    <t>Gallery at Somi Parc Phase 33</t>
  </si>
  <si>
    <t>Gallery at Somi Parc Phase 34</t>
  </si>
  <si>
    <t>Gallery at Somi Parc Phase 35</t>
  </si>
  <si>
    <t>Gallery at Somi Parc Phase 36</t>
  </si>
  <si>
    <t>Gallery at Somi Parc Phase 37</t>
  </si>
  <si>
    <t>Gallery at Somi Parc Phase 38</t>
  </si>
  <si>
    <t>Gallery at Somi Parc Phase 39</t>
  </si>
  <si>
    <t>Gallery at Somi Parc Phase 40</t>
  </si>
  <si>
    <t>Gallery at Somi Parc Phase 41</t>
  </si>
  <si>
    <t>Gallery at Somi Parc Phase 42</t>
  </si>
  <si>
    <t>Gallery at Somi Parc Phase 43</t>
  </si>
  <si>
    <t>Gallery at Somi Parc Phase 44</t>
  </si>
  <si>
    <t>Gallery at Somi Parc Phase 45</t>
  </si>
  <si>
    <t>Gallery at Somi Parc Phase 46</t>
  </si>
  <si>
    <t>Gallery at Somi Parc Phase 47</t>
  </si>
  <si>
    <t>Gallery at Somi Parc Phase 48</t>
  </si>
  <si>
    <t>Gallery at Somi Parc Phase 49</t>
  </si>
  <si>
    <t>Gallery at Somi Parc Phase 50</t>
  </si>
  <si>
    <t>Gallery at Somi Parc Phase 51</t>
  </si>
  <si>
    <t>Gallery at Somi Parc Phase 52</t>
  </si>
  <si>
    <t>Gallery at Somi Parc Phase 53</t>
  </si>
  <si>
    <t>Gallery at Somi Parc Phase 54</t>
  </si>
  <si>
    <t>Gallery at Somi Parc Phase 55</t>
  </si>
  <si>
    <t>Gallery at Somi Parc Phase 56</t>
  </si>
  <si>
    <t>Gallery at Somi Parc Phase 57</t>
  </si>
  <si>
    <t>Gallery at Somi Parc Phase 58</t>
  </si>
  <si>
    <t>Gallery at Somi Parc Phase 59</t>
  </si>
  <si>
    <t>Gallery at Somi Parc Phase 60</t>
  </si>
  <si>
    <t>Gallery at Somi Parc Phase 61</t>
  </si>
  <si>
    <t>Gallery at Somi Parc Phase 62</t>
  </si>
  <si>
    <t>Gallery at Somi Parc Phase 63</t>
  </si>
  <si>
    <t>Gallery at Somi Parc Phase 64</t>
  </si>
  <si>
    <t>Gallery at Somi Parc Phase 65</t>
  </si>
  <si>
    <t>Gallery at Somi Parc Phase 66</t>
  </si>
  <si>
    <t>Gallery at Somi Parc Phase 67</t>
  </si>
  <si>
    <t>Gallery at Somi Parc Phase 68</t>
  </si>
  <si>
    <t>Gallery at Somi Parc Phase 69</t>
  </si>
  <si>
    <t>Gallery at Somi Parc Phase 70</t>
  </si>
  <si>
    <t>Gallery at Somi Parc Phase 71</t>
  </si>
  <si>
    <t>Gallery at Somi Parc Phase 72</t>
  </si>
  <si>
    <t>Gallery at Somi Parc Phase 73</t>
  </si>
  <si>
    <t>Gallery at Somi Parc Phase 74</t>
  </si>
  <si>
    <t>Gallery at Somi Parc Phase 75</t>
  </si>
  <si>
    <t>Gallery at Somi Parc Phase 76</t>
  </si>
  <si>
    <t>Gallery at Somi Parc Phase 77</t>
  </si>
  <si>
    <t>Gallery at Somi Parc Phase 78</t>
  </si>
  <si>
    <t>6008 Le Lac (Furing residence)</t>
  </si>
  <si>
    <t>91 Stingaree</t>
  </si>
  <si>
    <t>841 Denery Ln. Residence</t>
  </si>
  <si>
    <t>842 Denery Ln. Residence</t>
  </si>
  <si>
    <t>843 Denery Ln. Residence</t>
  </si>
  <si>
    <t>844 Denery Ln. Residence</t>
  </si>
  <si>
    <t>811 S Swinton Ave Residence</t>
  </si>
  <si>
    <t>812 S Swinton Ave Residence</t>
  </si>
  <si>
    <t>800 Park Drive</t>
  </si>
  <si>
    <t>801 Park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</si>
</sst>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0.000"/>
    <numFmt numFmtId="166" formatCode="mm/dd/yyyy"/>
  </numFmts>
  <fonts count="22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22"/>
      <color rgb="FF002060"/>
      <name val="Calibri"/>
      <family val="2"/>
      <charset val="1"/>
    </font>
    <font>
      <b/>
      <sz val="18"/>
      <color rgb="FF002060"/>
      <name val="Calibri"/>
      <family val="2"/>
      <charset val="1"/>
    </font>
    <font>
      <b/>
      <sz val="12"/>
      <color rgb="FF002060"/>
      <name val="Calibri"/>
      <family val="2"/>
      <charset val="1"/>
    </font>
    <font>
      <b/>
      <sz val="11"/>
      <color rgb="FF00B05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sz val="10"/>
      <name val="Calibri"/>
      <family val="2"/>
      <charset val="1"/>
    </font>
    <font>
      <sz val="11"/>
      <name val="Calibri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00"/>
        <bgColor rgb="FFA9D18E"/>
      </patternFill>
    </fill>
    <fill>
      <patternFill patternType="solid">
        <fgColor rgb="FFE2F0D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DDDDD"/>
      </patternFill>
    </fill>
    <fill>
      <patternFill patternType="solid">
        <fgColor rgb="FFFF0000"/>
        <bgColor rgb="FFDDDDDD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uble">
        <color theme="4"/>
      </bottom>
      <diagonal/>
    </border>
    <border>
      <left/>
      <right/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double">
        <color theme="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theme="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double">
        <color theme="4"/>
      </top>
      <bottom style="medium">
        <color indexed="64"/>
      </bottom>
      <diagonal/>
    </border>
  </borders>
  <cellStyleXfs count="3">
    <xf numFmtId="0" fontId="0" fillId="0" borderId="0"/>
    <xf numFmtId="0" fontId="4" fillId="0" borderId="12" applyNumberFormat="0" applyFill="0" applyAlignment="0" applyProtection="0"/>
    <xf numFmtId="0" fontId="5" fillId="0" borderId="1"/>
  </cellStyleXfs>
  <cellXfs count="16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6" borderId="14" xfId="1" applyFill="1" applyBorder="1" applyAlignment="1">
      <alignment horizontal="center"/>
    </xf>
    <xf numFmtId="0" fontId="4" fillId="6" borderId="14" xfId="1" applyFill="1" applyBorder="1"/>
    <xf numFmtId="0" fontId="4" fillId="6" borderId="15" xfId="1" applyFill="1" applyBorder="1" applyAlignment="1">
      <alignment horizontal="center"/>
    </xf>
    <xf numFmtId="0" fontId="4" fillId="6" borderId="16" xfId="1" applyFill="1" applyBorder="1" applyAlignment="1">
      <alignment horizontal="center" vertical="center"/>
    </xf>
    <xf numFmtId="0" fontId="4" fillId="6" borderId="17" xfId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3" xfId="0" applyBorder="1"/>
    <xf numFmtId="0" fontId="0" fillId="0" borderId="19" xfId="0" applyBorder="1" applyAlignment="1">
      <alignment horizontal="center" vertical="center"/>
    </xf>
    <xf numFmtId="0" fontId="4" fillId="6" borderId="14" xfId="1" applyFill="1" applyBorder="1" applyAlignment="1"/>
    <xf numFmtId="0" fontId="6" fillId="0" borderId="1" xfId="0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8" borderId="2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 applyAlignment="1">
      <alignment horizontal="left" vertical="top"/>
    </xf>
    <xf numFmtId="0" fontId="7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2" fillId="10" borderId="29" xfId="0" applyFont="1" applyFill="1" applyBorder="1" applyAlignment="1">
      <alignment horizontal="center" vertical="center"/>
    </xf>
    <xf numFmtId="0" fontId="12" fillId="10" borderId="21" xfId="0" applyFont="1" applyFill="1" applyBorder="1" applyAlignment="1">
      <alignment horizontal="center" vertical="center" wrapText="1"/>
    </xf>
    <xf numFmtId="0" fontId="12" fillId="10" borderId="9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 wrapText="1"/>
    </xf>
    <xf numFmtId="0" fontId="13" fillId="10" borderId="35" xfId="0" applyFont="1" applyFill="1" applyBorder="1" applyAlignment="1">
      <alignment horizontal="center" vertical="center" wrapText="1"/>
    </xf>
    <xf numFmtId="0" fontId="13" fillId="10" borderId="36" xfId="0" applyFont="1" applyFill="1" applyBorder="1" applyAlignment="1">
      <alignment horizontal="center" vertical="center" wrapText="1"/>
    </xf>
    <xf numFmtId="0" fontId="13" fillId="10" borderId="37" xfId="0" applyFont="1" applyFill="1" applyBorder="1" applyAlignment="1">
      <alignment horizontal="center" vertical="center"/>
    </xf>
    <xf numFmtId="0" fontId="13" fillId="10" borderId="37" xfId="0" applyFont="1" applyFill="1" applyBorder="1" applyAlignment="1">
      <alignment horizontal="center" vertical="center" wrapText="1"/>
    </xf>
    <xf numFmtId="14" fontId="13" fillId="10" borderId="37" xfId="0" applyNumberFormat="1" applyFont="1" applyFill="1" applyBorder="1" applyAlignment="1">
      <alignment horizontal="center" vertical="center" wrapText="1"/>
    </xf>
    <xf numFmtId="0" fontId="13" fillId="10" borderId="38" xfId="0" applyFont="1" applyFill="1" applyBorder="1" applyAlignment="1">
      <alignment horizontal="center" vertical="center" wrapText="1"/>
    </xf>
    <xf numFmtId="0" fontId="13" fillId="10" borderId="39" xfId="0" applyFont="1" applyFill="1" applyBorder="1" applyAlignment="1">
      <alignment horizontal="center" vertical="center" wrapText="1"/>
    </xf>
    <xf numFmtId="0" fontId="13" fillId="10" borderId="39" xfId="0" applyFont="1" applyFill="1" applyBorder="1" applyAlignment="1">
      <alignment horizontal="left" vertical="center" wrapText="1"/>
    </xf>
    <xf numFmtId="0" fontId="13" fillId="10" borderId="5" xfId="0" applyFont="1" applyFill="1" applyBorder="1" applyAlignment="1">
      <alignment horizontal="left" vertical="center"/>
    </xf>
    <xf numFmtId="0" fontId="13" fillId="10" borderId="5" xfId="0" applyFont="1" applyFill="1" applyBorder="1" applyAlignment="1">
      <alignment horizontal="left" vertical="center" wrapText="1"/>
    </xf>
    <xf numFmtId="0" fontId="13" fillId="10" borderId="5" xfId="0" applyFont="1" applyFill="1" applyBorder="1" applyAlignment="1">
      <alignment horizontal="center" vertical="center" wrapText="1"/>
    </xf>
    <xf numFmtId="49" fontId="13" fillId="10" borderId="5" xfId="0" applyNumberFormat="1" applyFont="1" applyFill="1" applyBorder="1" applyAlignment="1">
      <alignment horizontal="center" vertical="center" wrapText="1"/>
    </xf>
    <xf numFmtId="0" fontId="13" fillId="10" borderId="40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14" fontId="7" fillId="11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49" fontId="7" fillId="12" borderId="21" xfId="0" applyNumberFormat="1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14" fontId="10" fillId="10" borderId="1" xfId="0" applyNumberFormat="1" applyFont="1" applyFill="1" applyBorder="1" applyAlignment="1">
      <alignment horizontal="center" vertical="center"/>
    </xf>
    <xf numFmtId="14" fontId="10" fillId="10" borderId="1" xfId="0" applyNumberFormat="1" applyFont="1" applyFill="1" applyBorder="1" applyAlignment="1">
      <alignment horizontal="center" vertical="center" wrapText="1"/>
    </xf>
    <xf numFmtId="14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" xfId="0" applyFont="1" applyFill="1" applyBorder="1" applyAlignment="1">
      <alignment horizontal="left" vertical="center"/>
    </xf>
    <xf numFmtId="0" fontId="7" fillId="10" borderId="21" xfId="0" applyFont="1" applyFill="1" applyBorder="1" applyAlignment="1">
      <alignment horizontal="center" vertical="center"/>
    </xf>
    <xf numFmtId="49" fontId="7" fillId="10" borderId="21" xfId="0" applyNumberFormat="1" applyFont="1" applyFill="1" applyBorder="1" applyAlignment="1">
      <alignment horizontal="center" vertical="center"/>
    </xf>
    <xf numFmtId="14" fontId="9" fillId="11" borderId="1" xfId="0" applyNumberFormat="1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left" vertical="center"/>
    </xf>
    <xf numFmtId="0" fontId="10" fillId="10" borderId="18" xfId="0" applyFont="1" applyFill="1" applyBorder="1" applyAlignment="1">
      <alignment horizontal="left" vertical="center"/>
    </xf>
    <xf numFmtId="14" fontId="10" fillId="10" borderId="18" xfId="0" applyNumberFormat="1" applyFont="1" applyFill="1" applyBorder="1" applyAlignment="1">
      <alignment horizontal="center" vertical="center"/>
    </xf>
    <xf numFmtId="14" fontId="10" fillId="10" borderId="18" xfId="0" applyNumberFormat="1" applyFont="1" applyFill="1" applyBorder="1" applyAlignment="1">
      <alignment horizontal="center" vertical="center" wrapText="1"/>
    </xf>
    <xf numFmtId="14" fontId="7" fillId="10" borderId="18" xfId="0" applyNumberFormat="1" applyFont="1" applyFill="1" applyBorder="1" applyAlignment="1">
      <alignment horizontal="center" vertical="center"/>
    </xf>
    <xf numFmtId="49" fontId="7" fillId="10" borderId="18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/>
    </xf>
    <xf numFmtId="0" fontId="7" fillId="0" borderId="41" xfId="0" applyFont="1" applyBorder="1" applyAlignment="1">
      <alignment horizontal="center" vertical="center"/>
    </xf>
    <xf numFmtId="0" fontId="7" fillId="8" borderId="18" xfId="0" applyFont="1" applyFill="1" applyBorder="1" applyAlignment="1">
      <alignment horizontal="left" vertical="center"/>
    </xf>
    <xf numFmtId="14" fontId="7" fillId="11" borderId="18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14" fontId="14" fillId="11" borderId="1" xfId="0" applyNumberFormat="1" applyFont="1" applyFill="1" applyBorder="1" applyAlignment="1">
      <alignment horizontal="center" vertical="center"/>
    </xf>
    <xf numFmtId="0" fontId="10" fillId="13" borderId="18" xfId="0" applyFont="1" applyFill="1" applyBorder="1" applyAlignment="1">
      <alignment horizontal="center" vertical="center"/>
    </xf>
    <xf numFmtId="0" fontId="10" fillId="13" borderId="18" xfId="0" applyFont="1" applyFill="1" applyBorder="1" applyAlignment="1">
      <alignment horizontal="left" vertical="center"/>
    </xf>
    <xf numFmtId="49" fontId="10" fillId="13" borderId="18" xfId="0" applyNumberFormat="1" applyFont="1" applyFill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7" fillId="8" borderId="33" xfId="0" applyFont="1" applyFill="1" applyBorder="1" applyAlignment="1">
      <alignment horizontal="left" vertical="center"/>
    </xf>
    <xf numFmtId="14" fontId="7" fillId="11" borderId="33" xfId="0" applyNumberFormat="1" applyFont="1" applyFill="1" applyBorder="1" applyAlignment="1">
      <alignment horizontal="center" vertical="center"/>
    </xf>
    <xf numFmtId="14" fontId="7" fillId="0" borderId="33" xfId="0" applyNumberFormat="1" applyFont="1" applyBorder="1" applyAlignment="1">
      <alignment horizontal="center" vertical="center"/>
    </xf>
    <xf numFmtId="49" fontId="7" fillId="0" borderId="33" xfId="0" applyNumberFormat="1" applyFont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left" vertical="center"/>
    </xf>
    <xf numFmtId="49" fontId="7" fillId="10" borderId="33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14" fontId="15" fillId="15" borderId="1" xfId="0" applyNumberFormat="1" applyFont="1" applyFill="1" applyBorder="1" applyAlignment="1">
      <alignment horizontal="center" vertical="center"/>
    </xf>
    <xf numFmtId="14" fontId="16" fillId="15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49" fontId="7" fillId="17" borderId="21" xfId="0" applyNumberFormat="1" applyFont="1" applyFill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4" fontId="14" fillId="11" borderId="33" xfId="0" applyNumberFormat="1" applyFont="1" applyFill="1" applyBorder="1" applyAlignment="1">
      <alignment horizontal="center" vertical="center"/>
    </xf>
    <xf numFmtId="14" fontId="7" fillId="0" borderId="18" xfId="0" applyNumberFormat="1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14" fontId="16" fillId="11" borderId="1" xfId="0" applyNumberFormat="1" applyFont="1" applyFill="1" applyBorder="1" applyAlignment="1">
      <alignment horizontal="center" vertical="center"/>
    </xf>
    <xf numFmtId="14" fontId="10" fillId="11" borderId="1" xfId="0" applyNumberFormat="1" applyFont="1" applyFill="1" applyBorder="1" applyAlignment="1">
      <alignment horizontal="center" vertical="center"/>
    </xf>
    <xf numFmtId="165" fontId="19" fillId="0" borderId="21" xfId="0" applyNumberFormat="1" applyFont="1" applyBorder="1" applyAlignment="1">
      <alignment horizontal="center" vertical="center"/>
    </xf>
    <xf numFmtId="49" fontId="7" fillId="17" borderId="1" xfId="0" applyNumberFormat="1" applyFont="1" applyFill="1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0" fontId="11" fillId="9" borderId="25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1" fillId="9" borderId="28" xfId="0" applyFont="1" applyFill="1" applyBorder="1" applyAlignment="1">
      <alignment horizontal="center" vertical="center"/>
    </xf>
    <xf numFmtId="0" fontId="12" fillId="10" borderId="30" xfId="0" applyFont="1" applyFill="1" applyBorder="1" applyAlignment="1">
      <alignment horizontal="center" vertical="center"/>
    </xf>
    <xf numFmtId="0" fontId="12" fillId="10" borderId="31" xfId="0" applyFont="1" applyFill="1" applyBorder="1" applyAlignment="1">
      <alignment horizontal="center" vertical="center"/>
    </xf>
    <xf numFmtId="0" fontId="12" fillId="10" borderId="22" xfId="0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0" borderId="32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12" fillId="10" borderId="11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17" fillId="3" borderId="42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164" fontId="12" fillId="10" borderId="33" xfId="0" applyNumberFormat="1" applyFont="1" applyFill="1" applyBorder="1" applyAlignment="1">
      <alignment horizontal="center" vertical="center" wrapText="1"/>
    </xf>
    <xf numFmtId="164" fontId="12" fillId="10" borderId="3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6" borderId="44" xfId="1" applyFill="1" applyBorder="1" applyAlignment="1">
      <alignment horizontal="center"/>
    </xf>
    <xf numFmtId="0" fontId="4" fillId="6" borderId="20" xfId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6" borderId="13" xfId="1" applyFill="1" applyBorder="1" applyAlignment="1">
      <alignment horizontal="center"/>
    </xf>
    <xf numFmtId="0" fontId="4" fillId="6" borderId="14" xfId="1" applyFill="1" applyBorder="1" applyAlignment="1">
      <alignment horizontal="center"/>
    </xf>
    <xf numFmtId="0" fontId="4" fillId="6" borderId="20" xfId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4" fontId="3" fillId="3" borderId="8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166" fontId="20" fillId="11" borderId="1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horizontal="left" vertical="center"/>
    </xf>
  </cellXfs>
  <cellStyles count="3">
    <cellStyle name="Normal" xfId="0" builtinId="0"/>
    <cellStyle name="Style 1" xfId="2" xr:uid="{00000000-0005-0000-0000-000001000000}"/>
    <cellStyle name="Total" xfId="1" builtinId="25"/>
  </cellStyles>
  <dxfs count="473"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6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none"/>
      </font>
      <fill>
        <patternFill patternType="solid">
          <fgColor rgb="FFDDDDDD"/>
          <bgColor rgb="FFE2F0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3300"/>
      <color rgb="FFFFCCFF"/>
      <color rgb="FFFFFFCC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art_Bldg." displayName="Stuart_Bldg." ref="A5:U429" totalsRowShown="0" headerRowDxfId="472" dataDxfId="470" headerRowBorderDxfId="471" tableBorderDxfId="469">
  <autoFilter ref="A5:U429" xr:uid="{00000000-0009-0000-0100-000001000000}"/>
  <tableColumns count="21">
    <tableColumn id="1" xr3:uid="{00000000-0010-0000-0000-000001000000}" name="S.No" dataDxfId="468"/>
    <tableColumn id="17" xr3:uid="{00000000-0010-0000-0000-000011000000}" name="BILL STATUS" dataDxfId="467"/>
    <tableColumn id="2" xr3:uid="{00000000-0010-0000-0000-000002000000}" name="PROJECT NAME" dataDxfId="466"/>
    <tableColumn id="3" xr3:uid="{00000000-0010-0000-0000-000003000000}" name="SCOPE" dataDxfId="465"/>
    <tableColumn id="4" xr3:uid="{00000000-0010-0000-0000-000004000000}" name="COMPONENTS OF WORK" dataDxfId="464"/>
    <tableColumn id="5" xr3:uid="{00000000-0010-0000-0000-000005000000}" name="REC. DATE" dataDxfId="463"/>
    <tableColumn id="6" xr3:uid="{00000000-0010-0000-0000-000006000000}" name="STATUS" dataDxfId="462"/>
    <tableColumn id="7" xr3:uid="{00000000-0010-0000-0000-000007000000}" name="CLIENT SUB. DATE" dataDxfId="461"/>
    <tableColumn id="8" xr3:uid="{00000000-0010-0000-0000-000008000000}" name="CUST. REQ. DATE" dataDxfId="460"/>
    <tableColumn id="9" xr3:uid="{00000000-0010-0000-0000-000009000000}" name="EXP. WT/HRS" dataDxfId="459"/>
    <tableColumn id="10" xr3:uid="{00000000-0010-0000-0000-00000A000000}" name="DET. WT." dataDxfId="458"/>
    <tableColumn id="11" xr3:uid="{00000000-0010-0000-0000-00000B000000}" name="EST. WT." dataDxfId="457"/>
    <tableColumn id="12" xr3:uid="{00000000-0010-0000-0000-00000C000000}" name="EST. HRS" dataDxfId="456"/>
    <tableColumn id="18" xr3:uid="{00000000-0010-0000-0000-000012000000}" name=" HRS" dataDxfId="455"/>
    <tableColumn id="16" xr3:uid="{00000000-0010-0000-0000-000010000000}" name="C.O." dataDxfId="454"/>
    <tableColumn id="24" xr3:uid="{00000000-0010-0000-0000-000018000000}" name="QC SUB. DATE2" dataDxfId="453"/>
    <tableColumn id="21" xr3:uid="{00000000-0010-0000-0000-000015000000}" name="DETAILER STATUS" dataDxfId="452"/>
    <tableColumn id="13" xr3:uid="{00000000-0010-0000-0000-00000D000000}" name="DETAILER" dataDxfId="451"/>
    <tableColumn id="22" xr3:uid="{00000000-0010-0000-0000-000016000000}" name="QC STATUS" dataDxfId="450"/>
    <tableColumn id="14" xr3:uid="{00000000-0010-0000-0000-00000E000000}" name="CHECKER" dataDxfId="449"/>
    <tableColumn id="15" xr3:uid="{00000000-0010-0000-0000-00000F000000}" name="REMARKS" dataDxfId="44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R117"/>
  <sheetViews>
    <sheetView zoomScaleNormal="100" workbookViewId="0">
      <selection activeCell="I87" sqref="I87"/>
    </sheetView>
  </sheetViews>
  <sheetFormatPr defaultRowHeight="15" outlineLevelRow="1" x14ac:dyDescent="0.25"/>
  <cols>
    <col min="2" max="2" width="6.28515625" customWidth="1"/>
    <col min="3" max="3" width="12.7109375" customWidth="1"/>
    <col min="4" max="4" width="27.85546875" customWidth="1"/>
    <col min="5" max="5" width="43.7109375" bestFit="1" customWidth="1"/>
    <col min="6" max="6" width="11.5703125" customWidth="1"/>
    <col min="7" max="7" width="11.85546875" bestFit="1" customWidth="1"/>
    <col min="8" max="8" width="11.28515625" customWidth="1"/>
    <col min="9" max="9" width="64.140625" bestFit="1" customWidth="1"/>
    <col min="10" max="10" width="0" hidden="1" customWidth="1"/>
    <col min="11" max="11" width="20.140625" bestFit="1" customWidth="1"/>
    <col min="12" max="12" width="15.28515625" bestFit="1" customWidth="1"/>
    <col min="13" max="13" width="8.140625" bestFit="1" customWidth="1"/>
    <col min="14" max="14" width="13.5703125" bestFit="1" customWidth="1"/>
    <col min="15" max="15" width="11.85546875" bestFit="1" customWidth="1"/>
  </cols>
  <sheetData>
    <row r="4" spans="2:18" ht="15.75" thickBot="1" x14ac:dyDescent="0.3"/>
    <row r="5" spans="2:18" ht="18.75" x14ac:dyDescent="0.25">
      <c r="B5" s="154" t="s">
        <v>52</v>
      </c>
      <c r="C5" s="155"/>
      <c r="D5" s="155"/>
      <c r="E5" s="155"/>
      <c r="F5" s="155"/>
      <c r="G5" s="155"/>
      <c r="H5" s="155"/>
      <c r="I5" s="156"/>
    </row>
    <row r="6" spans="2:18" ht="15.75" x14ac:dyDescent="0.25">
      <c r="B6" s="157" t="s">
        <v>7</v>
      </c>
      <c r="C6" s="158"/>
      <c r="D6" s="159" t="s">
        <v>241</v>
      </c>
      <c r="E6" s="159"/>
      <c r="F6" s="159"/>
      <c r="G6" s="159"/>
      <c r="H6" s="159"/>
      <c r="I6" s="160"/>
    </row>
    <row r="7" spans="2:18" ht="17.25" x14ac:dyDescent="0.25">
      <c r="B7" s="161" t="s">
        <v>26</v>
      </c>
      <c r="C7" s="162"/>
      <c r="D7" s="162"/>
      <c r="E7" s="162"/>
      <c r="F7" s="162"/>
      <c r="G7" s="162"/>
      <c r="H7" s="162"/>
      <c r="I7" s="163"/>
    </row>
    <row r="8" spans="2:18" ht="17.25" x14ac:dyDescent="0.3">
      <c r="B8" s="5" t="s">
        <v>6</v>
      </c>
      <c r="C8" s="5" t="s">
        <v>0</v>
      </c>
      <c r="D8" s="5" t="s">
        <v>27</v>
      </c>
      <c r="E8" s="5" t="s">
        <v>1</v>
      </c>
      <c r="F8" s="5" t="s">
        <v>2</v>
      </c>
      <c r="G8" s="5" t="s">
        <v>3</v>
      </c>
      <c r="H8" s="5" t="s">
        <v>4</v>
      </c>
      <c r="I8" s="5" t="s">
        <v>5</v>
      </c>
      <c r="K8" s="27" t="s">
        <v>49</v>
      </c>
      <c r="R8" s="4"/>
    </row>
    <row r="9" spans="2:18" ht="15" customHeight="1" x14ac:dyDescent="0.25">
      <c r="B9" s="8">
        <v>1</v>
      </c>
      <c r="C9" s="1"/>
      <c r="D9" s="25"/>
      <c r="E9" s="20"/>
      <c r="F9" s="2"/>
      <c r="G9" s="2"/>
      <c r="H9" s="17"/>
      <c r="I9" s="17"/>
    </row>
    <row r="10" spans="2:18" ht="15" customHeight="1" x14ac:dyDescent="0.25">
      <c r="B10" s="8">
        <v>2</v>
      </c>
      <c r="C10" s="1"/>
      <c r="D10" s="25"/>
      <c r="E10" s="23"/>
      <c r="F10" s="2"/>
      <c r="G10" s="2"/>
      <c r="H10" s="17"/>
      <c r="I10" s="17"/>
    </row>
    <row r="11" spans="2:18" ht="15" customHeight="1" x14ac:dyDescent="0.25">
      <c r="B11" s="8">
        <v>3</v>
      </c>
      <c r="C11" s="1"/>
      <c r="D11" s="25"/>
      <c r="E11" s="20"/>
      <c r="F11" s="2"/>
      <c r="G11" s="2"/>
      <c r="H11" s="17"/>
      <c r="I11" s="17"/>
    </row>
    <row r="12" spans="2:18" ht="15" customHeight="1" x14ac:dyDescent="0.25">
      <c r="B12" s="8">
        <v>4</v>
      </c>
      <c r="C12" s="20"/>
      <c r="D12" s="26"/>
      <c r="E12" s="21"/>
      <c r="F12" s="2"/>
      <c r="G12" s="2"/>
      <c r="H12" s="1"/>
      <c r="I12" s="1"/>
    </row>
    <row r="13" spans="2:18" ht="15" customHeight="1" x14ac:dyDescent="0.25">
      <c r="B13" s="8">
        <v>5</v>
      </c>
      <c r="C13" s="20"/>
      <c r="D13" s="26"/>
      <c r="E13" s="21"/>
      <c r="F13" s="2"/>
      <c r="G13" s="2"/>
      <c r="H13" s="17"/>
      <c r="I13" s="17"/>
    </row>
    <row r="14" spans="2:18" ht="15" customHeight="1" x14ac:dyDescent="0.25">
      <c r="B14" s="8"/>
      <c r="C14" s="20"/>
      <c r="D14" s="26"/>
      <c r="E14" s="21"/>
      <c r="F14" s="2"/>
      <c r="G14" s="2"/>
      <c r="H14" s="17"/>
      <c r="I14" s="17"/>
    </row>
    <row r="15" spans="2:18" ht="15" customHeight="1" x14ac:dyDescent="0.25">
      <c r="B15" s="8"/>
      <c r="C15" s="20"/>
      <c r="D15" s="26"/>
      <c r="E15" s="21"/>
      <c r="F15" s="2"/>
      <c r="G15" s="2"/>
      <c r="H15" s="17"/>
      <c r="I15" s="17"/>
    </row>
    <row r="16" spans="2:18" ht="15" customHeight="1" x14ac:dyDescent="0.25">
      <c r="B16" s="8"/>
      <c r="C16" s="1"/>
      <c r="D16" s="26"/>
      <c r="E16" s="23"/>
      <c r="F16" s="2"/>
      <c r="G16" s="2"/>
      <c r="H16" s="17"/>
      <c r="I16" s="1"/>
    </row>
    <row r="17" spans="2:10" ht="15" customHeight="1" x14ac:dyDescent="0.25">
      <c r="B17" s="8"/>
      <c r="C17" s="1"/>
      <c r="D17" s="20"/>
      <c r="E17" s="23"/>
      <c r="F17" s="2"/>
      <c r="G17" s="2"/>
      <c r="H17" s="1"/>
      <c r="I17" s="1"/>
    </row>
    <row r="18" spans="2:10" ht="15" customHeight="1" x14ac:dyDescent="0.25">
      <c r="B18" s="8"/>
      <c r="C18" s="20"/>
      <c r="D18" s="20"/>
      <c r="E18" s="21"/>
      <c r="F18" s="2"/>
      <c r="G18" s="2"/>
      <c r="H18" s="17"/>
      <c r="I18" s="1"/>
    </row>
    <row r="19" spans="2:10" ht="15" customHeight="1" x14ac:dyDescent="0.25">
      <c r="B19" s="8"/>
      <c r="C19" s="1"/>
      <c r="D19" s="20"/>
      <c r="E19" s="21"/>
      <c r="F19" s="2"/>
      <c r="G19" s="2"/>
      <c r="H19" s="1"/>
      <c r="I19" s="1"/>
    </row>
    <row r="20" spans="2:10" ht="15" customHeight="1" x14ac:dyDescent="0.25">
      <c r="B20" s="8"/>
      <c r="C20" s="23"/>
      <c r="D20" s="1"/>
      <c r="E20" s="23"/>
      <c r="F20" s="2"/>
      <c r="G20" s="2"/>
      <c r="H20" s="17"/>
      <c r="I20" s="17"/>
    </row>
    <row r="21" spans="2:10" ht="15" customHeight="1" x14ac:dyDescent="0.25">
      <c r="B21" s="8"/>
      <c r="C21" s="1"/>
      <c r="D21" s="1"/>
      <c r="E21" s="23"/>
      <c r="F21" s="2"/>
      <c r="G21" s="2"/>
      <c r="H21" s="17"/>
      <c r="I21" s="17"/>
    </row>
    <row r="22" spans="2:10" ht="15" customHeight="1" x14ac:dyDescent="0.25">
      <c r="B22" s="8"/>
      <c r="C22" s="1"/>
      <c r="D22" s="20"/>
      <c r="E22" s="23"/>
      <c r="F22" s="2"/>
      <c r="G22" s="2"/>
      <c r="H22" s="17"/>
      <c r="I22" s="17"/>
    </row>
    <row r="23" spans="2:10" ht="15" customHeight="1" x14ac:dyDescent="0.25">
      <c r="B23" s="153" t="s">
        <v>18</v>
      </c>
      <c r="C23" s="153"/>
      <c r="D23" s="153"/>
      <c r="E23" s="153"/>
      <c r="F23" s="6">
        <f>SUM(F9:F22)</f>
        <v>0</v>
      </c>
      <c r="G23" s="6">
        <f>SUM(G9:G22)</f>
        <v>0</v>
      </c>
      <c r="H23" s="164"/>
      <c r="I23" s="165"/>
      <c r="J23">
        <f>F23+G23</f>
        <v>0</v>
      </c>
    </row>
    <row r="24" spans="2:10" ht="15" customHeight="1" x14ac:dyDescent="0.3">
      <c r="B24" s="150" t="s">
        <v>41</v>
      </c>
      <c r="C24" s="151"/>
      <c r="D24" s="151"/>
      <c r="E24" s="151"/>
      <c r="F24" s="151"/>
      <c r="G24" s="151"/>
      <c r="H24" s="151"/>
      <c r="I24" s="152"/>
    </row>
    <row r="25" spans="2:10" ht="15" customHeight="1" x14ac:dyDescent="0.25">
      <c r="B25" s="8"/>
      <c r="C25" s="1"/>
      <c r="D25" s="25"/>
      <c r="E25" s="20"/>
      <c r="F25" s="2"/>
      <c r="G25" s="2"/>
      <c r="H25" s="17"/>
      <c r="I25" s="17"/>
    </row>
    <row r="26" spans="2:10" ht="15" customHeight="1" x14ac:dyDescent="0.25">
      <c r="B26" s="8"/>
      <c r="C26" s="1"/>
      <c r="D26" s="25"/>
      <c r="E26" s="20"/>
      <c r="F26" s="2"/>
      <c r="G26" s="2"/>
      <c r="H26" s="17"/>
      <c r="I26" s="17"/>
    </row>
    <row r="27" spans="2:10" ht="15" customHeight="1" x14ac:dyDescent="0.25">
      <c r="B27" s="8"/>
      <c r="C27" s="1"/>
      <c r="D27" s="25"/>
      <c r="E27" s="20"/>
      <c r="F27" s="2"/>
      <c r="G27" s="2"/>
      <c r="H27" s="17"/>
      <c r="I27" s="17"/>
    </row>
    <row r="28" spans="2:10" ht="15" customHeight="1" x14ac:dyDescent="0.25">
      <c r="B28" s="8"/>
      <c r="C28" s="1"/>
      <c r="D28" s="25"/>
      <c r="E28" s="20"/>
      <c r="F28" s="2"/>
      <c r="G28" s="2"/>
      <c r="H28" s="17"/>
      <c r="I28" s="17"/>
    </row>
    <row r="29" spans="2:10" ht="15" customHeight="1" x14ac:dyDescent="0.25">
      <c r="B29" s="8"/>
      <c r="C29" s="20"/>
      <c r="D29" s="26"/>
      <c r="E29" s="21"/>
      <c r="F29" s="2"/>
      <c r="G29" s="2"/>
      <c r="H29" s="1"/>
      <c r="I29" s="1"/>
    </row>
    <row r="30" spans="2:10" ht="15" customHeight="1" x14ac:dyDescent="0.25">
      <c r="B30" s="8"/>
      <c r="C30" s="20"/>
      <c r="D30" s="26"/>
      <c r="E30" s="21"/>
      <c r="F30" s="2"/>
      <c r="G30" s="2"/>
      <c r="H30" s="17"/>
      <c r="I30" s="17"/>
    </row>
    <row r="31" spans="2:10" ht="15" customHeight="1" x14ac:dyDescent="0.25">
      <c r="B31" s="8"/>
      <c r="C31" s="20"/>
      <c r="D31" s="26"/>
      <c r="E31" s="21"/>
      <c r="F31" s="2"/>
      <c r="G31" s="2"/>
      <c r="H31" s="17"/>
      <c r="I31" s="17"/>
    </row>
    <row r="32" spans="2:10" ht="15" customHeight="1" x14ac:dyDescent="0.25">
      <c r="B32" s="8"/>
      <c r="C32" s="1"/>
      <c r="D32" s="23"/>
      <c r="E32" s="20"/>
      <c r="F32" s="2"/>
      <c r="G32" s="2"/>
      <c r="H32" s="1"/>
      <c r="I32" s="1"/>
    </row>
    <row r="33" spans="2:10" ht="15" customHeight="1" x14ac:dyDescent="0.25">
      <c r="B33" s="8"/>
      <c r="C33" s="1"/>
      <c r="D33" s="20"/>
      <c r="E33" s="20"/>
      <c r="F33" s="2"/>
      <c r="G33" s="2"/>
      <c r="H33" s="1"/>
      <c r="I33" s="1"/>
    </row>
    <row r="34" spans="2:10" ht="15" customHeight="1" x14ac:dyDescent="0.25">
      <c r="B34" s="8"/>
      <c r="C34" s="1"/>
      <c r="D34" s="20"/>
      <c r="E34" s="21"/>
      <c r="F34" s="2"/>
      <c r="G34" s="2"/>
      <c r="H34" s="1"/>
      <c r="I34" s="1"/>
    </row>
    <row r="35" spans="2:10" ht="15" customHeight="1" x14ac:dyDescent="0.25">
      <c r="B35" s="8"/>
      <c r="C35" s="1"/>
      <c r="D35" s="23"/>
      <c r="E35" s="20"/>
      <c r="F35" s="2"/>
      <c r="G35" s="2"/>
      <c r="H35" s="1"/>
      <c r="I35" s="1"/>
    </row>
    <row r="36" spans="2:10" ht="15" customHeight="1" x14ac:dyDescent="0.25">
      <c r="B36" s="8"/>
      <c r="C36" s="1"/>
      <c r="D36" s="20"/>
      <c r="E36" s="20"/>
      <c r="F36" s="2"/>
      <c r="G36" s="2"/>
      <c r="H36" s="17"/>
      <c r="I36" s="1"/>
    </row>
    <row r="37" spans="2:10" ht="15" customHeight="1" x14ac:dyDescent="0.25">
      <c r="B37" s="8"/>
      <c r="C37" s="20"/>
      <c r="D37" s="26"/>
      <c r="E37" s="21"/>
      <c r="F37" s="2"/>
      <c r="G37" s="2"/>
      <c r="H37" s="17"/>
      <c r="I37" s="17"/>
    </row>
    <row r="38" spans="2:10" ht="15" customHeight="1" x14ac:dyDescent="0.25">
      <c r="B38" s="8"/>
      <c r="C38" s="20"/>
      <c r="D38" s="20"/>
      <c r="E38" s="21"/>
      <c r="F38" s="2"/>
      <c r="G38" s="2"/>
      <c r="H38" s="17"/>
      <c r="I38" s="1"/>
    </row>
    <row r="39" spans="2:10" ht="15" customHeight="1" x14ac:dyDescent="0.25">
      <c r="B39" s="8"/>
      <c r="C39" s="1"/>
      <c r="D39" s="20"/>
      <c r="E39" s="21"/>
      <c r="F39" s="2"/>
      <c r="G39" s="2"/>
      <c r="H39" s="1"/>
      <c r="I39" s="1"/>
    </row>
    <row r="40" spans="2:10" ht="15" customHeight="1" x14ac:dyDescent="0.25">
      <c r="B40" s="8"/>
      <c r="C40" s="23"/>
      <c r="D40" s="1"/>
      <c r="E40" s="23"/>
      <c r="F40" s="2"/>
      <c r="G40" s="2"/>
      <c r="H40" s="17"/>
      <c r="I40" s="17"/>
    </row>
    <row r="41" spans="2:10" outlineLevel="1" x14ac:dyDescent="0.25">
      <c r="B41" s="8"/>
      <c r="C41" s="1"/>
      <c r="D41" s="20"/>
      <c r="E41" s="20"/>
      <c r="F41" s="2"/>
      <c r="G41" s="2"/>
      <c r="H41" s="17"/>
      <c r="I41" s="17"/>
    </row>
    <row r="42" spans="2:10" x14ac:dyDescent="0.25">
      <c r="B42" s="8"/>
      <c r="C42" s="1"/>
      <c r="D42" s="29"/>
      <c r="E42" s="23"/>
      <c r="F42" s="2"/>
      <c r="G42" s="2"/>
      <c r="H42" s="17"/>
      <c r="I42" s="17"/>
    </row>
    <row r="43" spans="2:10" ht="15" customHeight="1" x14ac:dyDescent="0.25">
      <c r="B43" s="8"/>
      <c r="C43" s="1"/>
      <c r="D43" s="20"/>
      <c r="E43" s="23"/>
      <c r="F43" s="2"/>
      <c r="G43" s="2"/>
      <c r="H43" s="17"/>
      <c r="I43" s="17"/>
    </row>
    <row r="44" spans="2:10" ht="15" customHeight="1" x14ac:dyDescent="0.25">
      <c r="B44" s="153" t="s">
        <v>18</v>
      </c>
      <c r="C44" s="153"/>
      <c r="D44" s="153"/>
      <c r="E44" s="153"/>
      <c r="F44" s="6">
        <f>SUM(F25:F43)</f>
        <v>0</v>
      </c>
      <c r="G44" s="6">
        <f>SUM(G25:G43)</f>
        <v>0</v>
      </c>
      <c r="H44" s="153"/>
      <c r="I44" s="153"/>
      <c r="J44">
        <f>F44+G44</f>
        <v>0</v>
      </c>
    </row>
    <row r="45" spans="2:10" ht="15" customHeight="1" x14ac:dyDescent="0.3">
      <c r="B45" s="143" t="s">
        <v>8</v>
      </c>
      <c r="C45" s="143"/>
      <c r="D45" s="143"/>
      <c r="E45" s="143"/>
      <c r="F45" s="143"/>
      <c r="G45" s="143"/>
      <c r="H45" s="143"/>
      <c r="I45" s="143"/>
    </row>
    <row r="46" spans="2:10" ht="15" customHeight="1" x14ac:dyDescent="0.25">
      <c r="B46" s="8">
        <v>1</v>
      </c>
      <c r="C46" s="20"/>
      <c r="D46" s="20" t="s">
        <v>177</v>
      </c>
      <c r="E46" s="52" t="s">
        <v>164</v>
      </c>
      <c r="F46" s="2"/>
      <c r="G46" s="2"/>
      <c r="H46" s="1"/>
      <c r="I46" s="1"/>
    </row>
    <row r="47" spans="2:10" ht="15" customHeight="1" x14ac:dyDescent="0.25">
      <c r="B47" s="8"/>
      <c r="C47" s="1"/>
      <c r="D47" s="25"/>
      <c r="E47" s="52" t="s">
        <v>178</v>
      </c>
      <c r="F47" s="2"/>
      <c r="G47" s="2"/>
      <c r="H47" s="1"/>
      <c r="I47" s="1"/>
    </row>
    <row r="48" spans="2:10" ht="15" customHeight="1" x14ac:dyDescent="0.25">
      <c r="B48" s="8"/>
      <c r="C48" s="1"/>
      <c r="D48" s="25"/>
      <c r="E48" s="52" t="s">
        <v>166</v>
      </c>
      <c r="F48" s="2"/>
      <c r="G48" s="2"/>
      <c r="H48" s="1"/>
      <c r="I48" s="1"/>
    </row>
    <row r="49" spans="2:11" ht="15" customHeight="1" x14ac:dyDescent="0.25">
      <c r="B49" s="8"/>
      <c r="C49" s="1"/>
      <c r="D49" s="25"/>
      <c r="E49" s="21"/>
      <c r="F49" s="2"/>
      <c r="G49" s="2"/>
      <c r="H49" s="1"/>
      <c r="I49" s="1"/>
    </row>
    <row r="50" spans="2:11" ht="15" customHeight="1" x14ac:dyDescent="0.25">
      <c r="B50" s="8">
        <v>2</v>
      </c>
      <c r="C50" s="1"/>
      <c r="D50" s="25" t="s">
        <v>214</v>
      </c>
      <c r="E50" s="52" t="s">
        <v>220</v>
      </c>
      <c r="F50" s="2"/>
      <c r="G50" s="2"/>
      <c r="H50" s="1"/>
      <c r="I50" s="1"/>
    </row>
    <row r="51" spans="2:11" ht="15" customHeight="1" x14ac:dyDescent="0.25">
      <c r="B51" s="8"/>
      <c r="C51" s="20"/>
      <c r="D51" s="25"/>
      <c r="E51" s="52" t="s">
        <v>222</v>
      </c>
      <c r="F51" s="2"/>
      <c r="G51" s="16"/>
      <c r="H51" s="1"/>
      <c r="I51" s="1"/>
    </row>
    <row r="52" spans="2:11" ht="15" customHeight="1" x14ac:dyDescent="0.25">
      <c r="B52" s="8"/>
      <c r="C52" s="1"/>
      <c r="D52" s="26"/>
      <c r="E52" s="52" t="s">
        <v>223</v>
      </c>
      <c r="F52" s="2"/>
      <c r="G52" s="2"/>
      <c r="H52" s="1"/>
      <c r="I52" s="1"/>
    </row>
    <row r="53" spans="2:11" ht="15" customHeight="1" x14ac:dyDescent="0.25">
      <c r="B53" s="8"/>
      <c r="C53" s="1"/>
      <c r="D53" s="26"/>
      <c r="E53" s="23"/>
      <c r="F53" s="2"/>
      <c r="G53" s="2"/>
      <c r="H53" s="1"/>
      <c r="I53" s="1"/>
    </row>
    <row r="54" spans="2:11" ht="15" customHeight="1" x14ac:dyDescent="0.25">
      <c r="B54" s="8">
        <v>3</v>
      </c>
      <c r="C54" s="1"/>
      <c r="D54" s="25" t="s">
        <v>44</v>
      </c>
      <c r="E54" s="52" t="s">
        <v>53</v>
      </c>
      <c r="F54" s="2"/>
      <c r="G54" s="2"/>
      <c r="H54" s="1"/>
      <c r="I54" s="1"/>
      <c r="K54" t="s">
        <v>149</v>
      </c>
    </row>
    <row r="55" spans="2:11" ht="15" customHeight="1" x14ac:dyDescent="0.25">
      <c r="B55" s="8"/>
      <c r="C55" s="1"/>
      <c r="D55" s="20"/>
      <c r="E55" s="52" t="s">
        <v>227</v>
      </c>
      <c r="F55" s="2"/>
      <c r="G55" s="2"/>
      <c r="H55" s="1"/>
      <c r="I55" s="1"/>
      <c r="K55" t="s">
        <v>149</v>
      </c>
    </row>
    <row r="56" spans="2:11" ht="15" customHeight="1" x14ac:dyDescent="0.25">
      <c r="B56" s="8"/>
      <c r="C56" s="1"/>
      <c r="D56" s="23"/>
      <c r="E56" s="52" t="s">
        <v>219</v>
      </c>
      <c r="F56" s="2"/>
      <c r="G56" s="2"/>
      <c r="H56" s="1"/>
      <c r="I56" s="1"/>
      <c r="K56" t="s">
        <v>149</v>
      </c>
    </row>
    <row r="57" spans="2:11" ht="15" customHeight="1" x14ac:dyDescent="0.25">
      <c r="B57" s="8"/>
      <c r="C57" s="1"/>
      <c r="D57" s="20"/>
      <c r="E57" s="23"/>
      <c r="F57" s="2"/>
      <c r="G57" s="2"/>
      <c r="H57" s="1"/>
      <c r="I57" s="1"/>
    </row>
    <row r="58" spans="2:11" ht="15" customHeight="1" x14ac:dyDescent="0.25">
      <c r="B58" s="8">
        <v>4</v>
      </c>
      <c r="C58" s="1"/>
      <c r="D58" s="25" t="s">
        <v>45</v>
      </c>
      <c r="E58" s="52" t="s">
        <v>169</v>
      </c>
      <c r="F58" s="2"/>
      <c r="G58" s="2"/>
      <c r="H58" s="1"/>
      <c r="I58" s="1"/>
      <c r="K58" t="s">
        <v>14</v>
      </c>
    </row>
    <row r="59" spans="2:11" ht="15" customHeight="1" x14ac:dyDescent="0.25">
      <c r="B59" s="8"/>
      <c r="C59" s="1"/>
      <c r="D59" s="20"/>
      <c r="E59" s="52" t="s">
        <v>173</v>
      </c>
      <c r="F59" s="2"/>
      <c r="G59" s="2"/>
      <c r="H59" s="1"/>
      <c r="I59" s="1"/>
      <c r="K59" t="s">
        <v>242</v>
      </c>
    </row>
    <row r="60" spans="2:11" ht="15" customHeight="1" x14ac:dyDescent="0.25">
      <c r="B60" s="8"/>
      <c r="C60" s="1"/>
      <c r="D60" s="20"/>
      <c r="E60" s="23"/>
      <c r="F60" s="2"/>
      <c r="G60" s="2"/>
      <c r="H60" s="1"/>
      <c r="I60" s="1"/>
    </row>
    <row r="61" spans="2:11" ht="15" customHeight="1" x14ac:dyDescent="0.25">
      <c r="B61" s="8">
        <v>5</v>
      </c>
      <c r="C61" s="1"/>
      <c r="D61" s="25" t="s">
        <v>47</v>
      </c>
      <c r="E61" s="52" t="s">
        <v>170</v>
      </c>
      <c r="F61" s="2"/>
      <c r="G61" s="2"/>
      <c r="H61" s="1"/>
      <c r="I61" s="1"/>
    </row>
    <row r="62" spans="2:11" ht="15" customHeight="1" x14ac:dyDescent="0.25">
      <c r="B62" s="8"/>
      <c r="C62" s="1"/>
      <c r="D62" s="26"/>
      <c r="E62" s="52" t="s">
        <v>183</v>
      </c>
      <c r="F62" s="2"/>
      <c r="G62" s="2"/>
      <c r="H62" s="1"/>
      <c r="I62" s="1"/>
    </row>
    <row r="63" spans="2:11" ht="15" customHeight="1" x14ac:dyDescent="0.25">
      <c r="B63" s="8"/>
      <c r="C63" s="1"/>
      <c r="D63" s="23"/>
      <c r="E63" s="21"/>
      <c r="F63" s="2"/>
      <c r="G63" s="2"/>
      <c r="H63" s="1"/>
      <c r="I63" s="1"/>
    </row>
    <row r="64" spans="2:11" ht="15" customHeight="1" x14ac:dyDescent="0.25">
      <c r="B64" s="8">
        <v>6</v>
      </c>
      <c r="C64" s="1"/>
      <c r="D64" s="26" t="s">
        <v>46</v>
      </c>
      <c r="E64" s="52" t="s">
        <v>150</v>
      </c>
      <c r="F64" s="2"/>
      <c r="G64" s="2"/>
      <c r="H64" s="1"/>
      <c r="I64" s="1"/>
    </row>
    <row r="65" spans="2:11" ht="15" customHeight="1" x14ac:dyDescent="0.25">
      <c r="B65" s="8"/>
      <c r="C65" s="1"/>
      <c r="D65" s="23"/>
      <c r="E65" s="52" t="s">
        <v>183</v>
      </c>
      <c r="F65" s="2"/>
      <c r="G65" s="2"/>
      <c r="H65" s="1"/>
      <c r="I65" s="1"/>
    </row>
    <row r="66" spans="2:11" ht="15" customHeight="1" x14ac:dyDescent="0.25">
      <c r="B66" s="8"/>
      <c r="C66" s="1"/>
      <c r="D66" s="23"/>
      <c r="E66" s="21"/>
      <c r="F66" s="2"/>
      <c r="G66" s="2"/>
      <c r="H66" s="1"/>
      <c r="I66" s="1"/>
    </row>
    <row r="67" spans="2:11" ht="15" customHeight="1" x14ac:dyDescent="0.25">
      <c r="B67" s="8">
        <v>7</v>
      </c>
      <c r="C67" s="1"/>
      <c r="D67" s="25" t="s">
        <v>54</v>
      </c>
      <c r="E67" s="52" t="s">
        <v>201</v>
      </c>
      <c r="F67" s="2"/>
      <c r="G67" s="2"/>
      <c r="H67" s="1"/>
      <c r="I67" s="1"/>
    </row>
    <row r="68" spans="2:11" ht="15" customHeight="1" x14ac:dyDescent="0.25">
      <c r="B68" s="8"/>
      <c r="C68" s="1"/>
      <c r="D68" s="23"/>
      <c r="E68" s="52" t="s">
        <v>140</v>
      </c>
      <c r="F68" s="2"/>
      <c r="G68" s="2"/>
      <c r="H68" s="1"/>
      <c r="I68" s="1"/>
    </row>
    <row r="69" spans="2:11" ht="15" customHeight="1" x14ac:dyDescent="0.25">
      <c r="B69" s="8"/>
      <c r="C69" s="1"/>
      <c r="D69" s="20"/>
      <c r="E69" s="21"/>
      <c r="F69" s="2"/>
      <c r="G69" s="2"/>
      <c r="H69" s="1"/>
      <c r="I69" s="1"/>
    </row>
    <row r="70" spans="2:11" ht="15" customHeight="1" x14ac:dyDescent="0.25">
      <c r="B70" s="8">
        <v>8</v>
      </c>
      <c r="C70" s="1"/>
      <c r="D70" s="25" t="s">
        <v>58</v>
      </c>
      <c r="E70" s="52" t="s">
        <v>139</v>
      </c>
      <c r="F70" s="2"/>
      <c r="G70" s="2"/>
      <c r="H70" s="1"/>
      <c r="I70" s="1"/>
    </row>
    <row r="71" spans="2:11" ht="15" customHeight="1" x14ac:dyDescent="0.25">
      <c r="B71" s="8"/>
      <c r="C71" s="1"/>
      <c r="D71" s="20"/>
      <c r="E71" s="52" t="s">
        <v>173</v>
      </c>
      <c r="F71" s="2"/>
      <c r="G71" s="2"/>
      <c r="H71" s="1"/>
      <c r="I71" s="1"/>
    </row>
    <row r="72" spans="2:11" ht="15" customHeight="1" x14ac:dyDescent="0.25">
      <c r="B72" s="8"/>
      <c r="C72" s="1"/>
      <c r="D72" s="20"/>
      <c r="E72" s="21"/>
      <c r="F72" s="2"/>
      <c r="G72" s="2"/>
      <c r="H72" s="1"/>
      <c r="I72" s="1"/>
    </row>
    <row r="73" spans="2:11" ht="15" customHeight="1" x14ac:dyDescent="0.25">
      <c r="B73" s="8">
        <v>9</v>
      </c>
      <c r="C73" s="1"/>
      <c r="D73" s="25" t="s">
        <v>55</v>
      </c>
      <c r="E73" s="52" t="s">
        <v>170</v>
      </c>
      <c r="F73" s="2"/>
      <c r="G73" s="2"/>
      <c r="H73" s="1"/>
      <c r="I73" s="1"/>
    </row>
    <row r="74" spans="2:11" ht="15" customHeight="1" x14ac:dyDescent="0.25">
      <c r="B74" s="8"/>
      <c r="C74" s="1"/>
      <c r="D74" s="20"/>
      <c r="E74" s="52" t="s">
        <v>183</v>
      </c>
      <c r="F74" s="2"/>
      <c r="G74" s="2"/>
      <c r="H74" s="1"/>
      <c r="I74" s="1"/>
    </row>
    <row r="75" spans="2:11" ht="15" customHeight="1" x14ac:dyDescent="0.25">
      <c r="B75" s="8"/>
      <c r="C75" s="1"/>
      <c r="D75" s="21"/>
      <c r="E75" s="21"/>
      <c r="F75" s="2"/>
      <c r="G75" s="2"/>
      <c r="H75" s="17"/>
      <c r="I75" s="1"/>
    </row>
    <row r="76" spans="2:11" ht="15" customHeight="1" x14ac:dyDescent="0.25">
      <c r="B76" s="8">
        <v>10</v>
      </c>
      <c r="C76" s="23"/>
      <c r="D76" s="26" t="s">
        <v>197</v>
      </c>
      <c r="E76" s="52" t="s">
        <v>158</v>
      </c>
      <c r="F76" s="2"/>
      <c r="G76" s="16"/>
      <c r="H76" s="1"/>
      <c r="I76" s="17"/>
      <c r="K76" t="s">
        <v>35</v>
      </c>
    </row>
    <row r="77" spans="2:11" ht="15" customHeight="1" x14ac:dyDescent="0.25">
      <c r="B77" s="8"/>
      <c r="C77" s="23"/>
      <c r="D77" s="1"/>
      <c r="E77" s="23"/>
      <c r="F77" s="2"/>
      <c r="G77" s="16"/>
      <c r="H77" s="1"/>
      <c r="I77" s="17"/>
    </row>
    <row r="78" spans="2:11" ht="15" customHeight="1" x14ac:dyDescent="0.25">
      <c r="B78" s="8">
        <v>11</v>
      </c>
      <c r="C78" s="23"/>
      <c r="D78" s="25" t="s">
        <v>56</v>
      </c>
      <c r="E78" s="52" t="s">
        <v>107</v>
      </c>
      <c r="F78" s="2"/>
      <c r="G78" s="16"/>
      <c r="H78" s="1"/>
      <c r="I78" s="17"/>
      <c r="K78" t="s">
        <v>31</v>
      </c>
    </row>
    <row r="79" spans="2:11" ht="15" customHeight="1" x14ac:dyDescent="0.25">
      <c r="B79" s="8"/>
      <c r="C79" s="23"/>
      <c r="D79" s="1"/>
      <c r="E79" s="25" t="s">
        <v>200</v>
      </c>
      <c r="F79" s="2"/>
      <c r="G79" s="16"/>
      <c r="H79" s="1"/>
      <c r="I79" s="17"/>
    </row>
    <row r="80" spans="2:11" ht="15" customHeight="1" x14ac:dyDescent="0.25">
      <c r="B80" s="8"/>
      <c r="C80" s="23"/>
      <c r="D80" s="1"/>
      <c r="E80" s="23"/>
      <c r="F80" s="2"/>
      <c r="G80" s="16"/>
      <c r="H80" s="1"/>
      <c r="I80" s="17"/>
    </row>
    <row r="81" spans="2:10" ht="15" customHeight="1" x14ac:dyDescent="0.25">
      <c r="B81" s="8">
        <v>12</v>
      </c>
      <c r="C81" s="23"/>
      <c r="D81" s="26" t="s">
        <v>57</v>
      </c>
      <c r="E81" s="52" t="s">
        <v>152</v>
      </c>
      <c r="F81" s="2"/>
      <c r="G81" s="16"/>
      <c r="H81" s="1"/>
      <c r="I81" s="17"/>
    </row>
    <row r="82" spans="2:10" ht="15" customHeight="1" x14ac:dyDescent="0.25">
      <c r="B82" s="8"/>
      <c r="C82" s="23"/>
      <c r="D82" s="1"/>
      <c r="E82" s="52" t="s">
        <v>150</v>
      </c>
      <c r="F82" s="2"/>
      <c r="G82" s="16"/>
      <c r="H82" s="1"/>
      <c r="I82" s="17"/>
    </row>
    <row r="83" spans="2:10" ht="15" customHeight="1" x14ac:dyDescent="0.25">
      <c r="B83" s="8"/>
      <c r="C83" s="23"/>
      <c r="D83" s="1"/>
      <c r="E83" s="52" t="s">
        <v>196</v>
      </c>
      <c r="F83" s="2"/>
      <c r="G83" s="16"/>
      <c r="H83" s="1"/>
      <c r="I83" s="17"/>
    </row>
    <row r="84" spans="2:10" ht="15" customHeight="1" x14ac:dyDescent="0.25">
      <c r="B84" s="8"/>
      <c r="C84" s="23"/>
      <c r="D84" s="1"/>
      <c r="E84" s="23"/>
      <c r="F84" s="2"/>
      <c r="G84" s="16"/>
      <c r="H84" s="1"/>
      <c r="I84" s="17"/>
    </row>
    <row r="85" spans="2:10" ht="15" customHeight="1" x14ac:dyDescent="0.25">
      <c r="B85" s="8">
        <v>13</v>
      </c>
      <c r="C85" s="23"/>
      <c r="D85" s="25" t="s">
        <v>66</v>
      </c>
      <c r="E85" s="52" t="s">
        <v>210</v>
      </c>
      <c r="F85" s="2"/>
      <c r="G85" s="16"/>
      <c r="H85" s="1"/>
      <c r="I85" s="17"/>
    </row>
    <row r="86" spans="2:10" ht="15" customHeight="1" x14ac:dyDescent="0.25">
      <c r="B86" s="8"/>
      <c r="C86" s="23"/>
      <c r="D86" s="1"/>
      <c r="E86" s="23"/>
      <c r="F86" s="2"/>
      <c r="G86" s="16"/>
      <c r="H86" s="1"/>
      <c r="I86" s="17"/>
    </row>
    <row r="87" spans="2:10" ht="15" customHeight="1" x14ac:dyDescent="0.25">
      <c r="B87" s="8">
        <v>14</v>
      </c>
      <c r="C87" s="23"/>
      <c r="D87" s="25" t="s">
        <v>232</v>
      </c>
      <c r="E87" s="52" t="s">
        <v>233</v>
      </c>
      <c r="F87" s="2"/>
      <c r="G87" s="16"/>
      <c r="H87" s="1"/>
      <c r="I87" s="17"/>
    </row>
    <row r="88" spans="2:10" ht="15" customHeight="1" x14ac:dyDescent="0.25">
      <c r="B88" s="8"/>
      <c r="C88" s="23"/>
      <c r="D88" s="1"/>
      <c r="E88" s="23"/>
      <c r="F88" s="2"/>
      <c r="G88" s="16"/>
      <c r="H88" s="1"/>
      <c r="I88" s="17"/>
    </row>
    <row r="89" spans="2:10" ht="15" customHeight="1" x14ac:dyDescent="0.25">
      <c r="B89" s="8"/>
      <c r="C89" s="23"/>
      <c r="D89" s="1"/>
      <c r="E89" s="23"/>
      <c r="F89" s="2"/>
      <c r="G89" s="16"/>
      <c r="H89" s="1"/>
      <c r="I89" s="17"/>
    </row>
    <row r="90" spans="2:10" ht="15" customHeight="1" x14ac:dyDescent="0.25">
      <c r="B90" s="8"/>
      <c r="C90" s="23"/>
      <c r="D90" s="1"/>
      <c r="E90" s="23"/>
      <c r="F90" s="2"/>
      <c r="G90" s="16"/>
      <c r="H90" s="1"/>
      <c r="I90" s="17"/>
    </row>
    <row r="91" spans="2:10" ht="15" customHeight="1" x14ac:dyDescent="0.25">
      <c r="B91" s="8"/>
      <c r="C91" s="23"/>
      <c r="D91" s="1"/>
      <c r="E91" s="23"/>
      <c r="F91" s="2"/>
      <c r="G91" s="16"/>
      <c r="H91" s="1"/>
      <c r="I91" s="17"/>
    </row>
    <row r="92" spans="2:10" ht="15" customHeight="1" x14ac:dyDescent="0.25">
      <c r="B92" s="8"/>
      <c r="C92" s="23"/>
      <c r="D92" s="1"/>
      <c r="E92" s="23"/>
      <c r="F92" s="2"/>
      <c r="G92" s="16"/>
      <c r="H92" s="1"/>
      <c r="I92" s="17"/>
    </row>
    <row r="93" spans="2:10" x14ac:dyDescent="0.25">
      <c r="B93" s="153" t="s">
        <v>18</v>
      </c>
      <c r="C93" s="153"/>
      <c r="D93" s="153"/>
      <c r="E93" s="153"/>
      <c r="F93" s="6">
        <f>SUM(F46:F76)</f>
        <v>0</v>
      </c>
      <c r="G93" s="6">
        <v>60</v>
      </c>
      <c r="H93" s="28"/>
      <c r="I93" s="28"/>
      <c r="J93">
        <f>F93+G93</f>
        <v>60</v>
      </c>
    </row>
    <row r="94" spans="2:10" ht="15" customHeight="1" x14ac:dyDescent="0.3">
      <c r="B94" s="143" t="s">
        <v>12</v>
      </c>
      <c r="C94" s="143"/>
      <c r="D94" s="143"/>
      <c r="E94" s="143"/>
      <c r="F94" s="143"/>
      <c r="G94" s="143"/>
      <c r="H94" s="143"/>
      <c r="I94" s="143"/>
    </row>
    <row r="95" spans="2:10" ht="15" customHeight="1" x14ac:dyDescent="0.25">
      <c r="B95" s="8">
        <v>1</v>
      </c>
      <c r="C95" s="1"/>
      <c r="D95" s="22"/>
      <c r="E95" s="24"/>
      <c r="F95" s="2"/>
      <c r="G95" s="16"/>
      <c r="H95" s="1"/>
      <c r="I95" s="1"/>
    </row>
    <row r="96" spans="2:10" ht="15" customHeight="1" x14ac:dyDescent="0.25">
      <c r="B96" s="8">
        <v>2</v>
      </c>
      <c r="C96" s="1"/>
      <c r="D96" s="1"/>
      <c r="E96" s="1"/>
      <c r="F96" s="2"/>
      <c r="G96" s="16"/>
      <c r="H96" s="1"/>
      <c r="I96" s="1"/>
    </row>
    <row r="97" spans="2:9" ht="15" customHeight="1" x14ac:dyDescent="0.25">
      <c r="B97" s="8">
        <v>3</v>
      </c>
      <c r="C97" s="1"/>
      <c r="D97" s="1"/>
      <c r="E97" s="1"/>
      <c r="F97" s="2"/>
      <c r="G97" s="16"/>
      <c r="H97" s="1"/>
      <c r="I97" s="1"/>
    </row>
    <row r="98" spans="2:9" ht="15" customHeight="1" x14ac:dyDescent="0.25">
      <c r="B98" s="8">
        <v>3</v>
      </c>
      <c r="C98" s="1"/>
      <c r="D98" s="1"/>
      <c r="E98" s="1"/>
      <c r="F98" s="2"/>
      <c r="G98" s="16"/>
      <c r="H98" s="1"/>
      <c r="I98" s="1"/>
    </row>
    <row r="99" spans="2:9" ht="15" customHeight="1" x14ac:dyDescent="0.25">
      <c r="B99" s="8">
        <v>4</v>
      </c>
      <c r="C99" s="1"/>
      <c r="D99" s="23"/>
      <c r="E99" s="1"/>
      <c r="F99" s="2"/>
      <c r="G99" s="2"/>
      <c r="H99" s="1"/>
      <c r="I99" s="1"/>
    </row>
    <row r="100" spans="2:9" ht="15" customHeight="1" x14ac:dyDescent="0.25">
      <c r="B100" s="8">
        <v>5</v>
      </c>
      <c r="C100" s="1"/>
      <c r="D100" s="1"/>
      <c r="E100" s="1"/>
      <c r="F100" s="2"/>
      <c r="G100" s="2"/>
      <c r="H100" s="1"/>
      <c r="I100" s="1"/>
    </row>
    <row r="101" spans="2:9" ht="15" customHeight="1" x14ac:dyDescent="0.25">
      <c r="B101" s="8">
        <v>6</v>
      </c>
      <c r="C101" s="1"/>
      <c r="D101" s="1"/>
      <c r="E101" s="1"/>
      <c r="F101" s="2"/>
      <c r="G101" s="2"/>
      <c r="H101" s="1"/>
      <c r="I101" s="1"/>
    </row>
    <row r="102" spans="2:9" ht="15" customHeight="1" x14ac:dyDescent="0.25">
      <c r="B102" s="8">
        <v>7</v>
      </c>
      <c r="C102" s="1"/>
      <c r="D102" s="1"/>
      <c r="E102" s="23"/>
      <c r="F102" s="18"/>
      <c r="G102" s="18"/>
      <c r="H102" s="1"/>
      <c r="I102" s="1"/>
    </row>
    <row r="103" spans="2:9" ht="15" customHeight="1" thickBot="1" x14ac:dyDescent="0.3">
      <c r="B103" s="144" t="s">
        <v>18</v>
      </c>
      <c r="C103" s="145"/>
      <c r="D103" s="145"/>
      <c r="E103" s="145"/>
      <c r="F103" s="7">
        <f>SUM(F94:F102)</f>
        <v>0</v>
      </c>
      <c r="G103" s="7">
        <f>SUM(G95:G100)</f>
        <v>0</v>
      </c>
      <c r="H103" s="145"/>
      <c r="I103" s="146"/>
    </row>
    <row r="104" spans="2:9" ht="15" customHeight="1" thickBot="1" x14ac:dyDescent="0.3"/>
    <row r="105" spans="2:9" ht="15" customHeight="1" thickBot="1" x14ac:dyDescent="0.3">
      <c r="B105" s="147" t="s">
        <v>22</v>
      </c>
      <c r="C105" s="148"/>
      <c r="D105" s="10" t="s">
        <v>23</v>
      </c>
      <c r="E105" s="10" t="s">
        <v>24</v>
      </c>
      <c r="F105" s="19" t="s">
        <v>25</v>
      </c>
      <c r="G105" s="19"/>
      <c r="H105" s="11"/>
      <c r="I105" s="12" t="s">
        <v>18</v>
      </c>
    </row>
    <row r="106" spans="2:9" ht="15" customHeight="1" thickTop="1" thickBot="1" x14ac:dyDescent="0.3">
      <c r="B106" s="141">
        <v>0</v>
      </c>
      <c r="C106" s="142"/>
      <c r="D106" s="13">
        <v>0</v>
      </c>
      <c r="E106" s="13">
        <v>0</v>
      </c>
      <c r="F106" s="149">
        <v>0</v>
      </c>
      <c r="G106" s="149"/>
      <c r="H106" s="149"/>
      <c r="I106" s="14">
        <f>F106+E106+D106+C106</f>
        <v>0</v>
      </c>
    </row>
    <row r="108" spans="2:9" x14ac:dyDescent="0.25">
      <c r="B108" t="s">
        <v>21</v>
      </c>
    </row>
    <row r="110" spans="2:9" ht="17.25" x14ac:dyDescent="0.3">
      <c r="B110" s="3" t="s">
        <v>20</v>
      </c>
      <c r="C110" s="9" t="s">
        <v>19</v>
      </c>
      <c r="D110" s="9"/>
      <c r="E110" s="9" t="s">
        <v>9</v>
      </c>
      <c r="F110" s="3" t="s">
        <v>10</v>
      </c>
      <c r="G110" s="3" t="s">
        <v>11</v>
      </c>
      <c r="H110" s="139" t="s">
        <v>5</v>
      </c>
      <c r="I110" s="140"/>
    </row>
    <row r="111" spans="2:9" x14ac:dyDescent="0.25">
      <c r="B111" s="8">
        <v>1</v>
      </c>
      <c r="C111" s="15" t="s">
        <v>17</v>
      </c>
      <c r="D111" s="1" t="s">
        <v>237</v>
      </c>
      <c r="E111" s="1"/>
      <c r="F111" s="1"/>
      <c r="G111" s="1"/>
      <c r="H111" s="138"/>
      <c r="I111" s="138"/>
    </row>
    <row r="112" spans="2:9" x14ac:dyDescent="0.25">
      <c r="B112" s="8">
        <v>2</v>
      </c>
      <c r="C112" s="8" t="s">
        <v>14</v>
      </c>
      <c r="D112" s="1" t="s">
        <v>240</v>
      </c>
      <c r="E112" s="1"/>
      <c r="F112" s="1"/>
      <c r="G112" s="1"/>
      <c r="H112" s="138"/>
      <c r="I112" s="138"/>
    </row>
    <row r="113" spans="2:9" x14ac:dyDescent="0.25">
      <c r="B113" s="8">
        <v>3</v>
      </c>
      <c r="C113" s="8" t="s">
        <v>36</v>
      </c>
      <c r="D113" s="1" t="s">
        <v>238</v>
      </c>
      <c r="E113" s="1"/>
      <c r="F113" s="1"/>
      <c r="G113" s="1"/>
      <c r="H113" s="138"/>
      <c r="I113" s="138"/>
    </row>
    <row r="114" spans="2:9" x14ac:dyDescent="0.25">
      <c r="B114" s="8">
        <v>4</v>
      </c>
      <c r="C114" s="8" t="s">
        <v>30</v>
      </c>
      <c r="D114" s="1" t="s">
        <v>239</v>
      </c>
      <c r="E114" s="1"/>
      <c r="F114" s="1"/>
      <c r="G114" s="1"/>
      <c r="H114" s="138"/>
      <c r="I114" s="138"/>
    </row>
    <row r="115" spans="2:9" x14ac:dyDescent="0.25">
      <c r="B115" s="8">
        <v>5</v>
      </c>
      <c r="C115" s="8" t="s">
        <v>16</v>
      </c>
      <c r="D115" s="1" t="s">
        <v>239</v>
      </c>
      <c r="E115" s="1"/>
      <c r="F115" s="1"/>
      <c r="G115" s="1"/>
      <c r="H115" s="138"/>
      <c r="I115" s="138"/>
    </row>
    <row r="116" spans="2:9" x14ac:dyDescent="0.25">
      <c r="B116" s="8">
        <v>6</v>
      </c>
      <c r="C116" s="8" t="s">
        <v>31</v>
      </c>
      <c r="D116" s="1" t="s">
        <v>239</v>
      </c>
      <c r="E116" s="1"/>
      <c r="F116" s="1"/>
      <c r="G116" s="1"/>
      <c r="H116" s="138"/>
      <c r="I116" s="138"/>
    </row>
    <row r="117" spans="2:9" x14ac:dyDescent="0.25">
      <c r="B117" s="8">
        <v>7</v>
      </c>
      <c r="C117" s="8" t="s">
        <v>35</v>
      </c>
      <c r="D117" s="1" t="s">
        <v>239</v>
      </c>
      <c r="E117" s="1"/>
      <c r="F117" s="1"/>
      <c r="G117" s="1"/>
      <c r="H117" s="138"/>
      <c r="I117" s="138"/>
    </row>
  </sheetData>
  <mergeCells count="25">
    <mergeCell ref="B5:I5"/>
    <mergeCell ref="B6:C6"/>
    <mergeCell ref="D6:I6"/>
    <mergeCell ref="B7:I7"/>
    <mergeCell ref="B23:E23"/>
    <mergeCell ref="H23:I23"/>
    <mergeCell ref="B24:I24"/>
    <mergeCell ref="B44:E44"/>
    <mergeCell ref="H44:I44"/>
    <mergeCell ref="B45:I45"/>
    <mergeCell ref="B93:E93"/>
    <mergeCell ref="B94:I94"/>
    <mergeCell ref="B103:E103"/>
    <mergeCell ref="H103:I103"/>
    <mergeCell ref="B105:C105"/>
    <mergeCell ref="F106:H106"/>
    <mergeCell ref="H116:I116"/>
    <mergeCell ref="H117:I117"/>
    <mergeCell ref="H110:I110"/>
    <mergeCell ref="B106:C106"/>
    <mergeCell ref="H115:I115"/>
    <mergeCell ref="H111:I111"/>
    <mergeCell ref="H112:I112"/>
    <mergeCell ref="H113:I113"/>
    <mergeCell ref="H114:I114"/>
  </mergeCells>
  <conditionalFormatting sqref="D9:D17 D36:D37">
    <cfRule type="expression" priority="57">
      <formula>SEARCH("BILLING DONE", #REF!) &gt; 0</formula>
    </cfRule>
    <cfRule type="expression" dxfId="447" priority="58">
      <formula>SEARCH("NOT BILLED", #REF!) &gt; 0</formula>
    </cfRule>
  </conditionalFormatting>
  <conditionalFormatting sqref="D25:D31 D47:D49 D51:D53">
    <cfRule type="expression" priority="59">
      <formula>SEARCH("BILLING DONE", #REF!) &gt; 0</formula>
    </cfRule>
    <cfRule type="expression" dxfId="446" priority="60">
      <formula>SEARCH("NOT BILLED", #REF!) &gt; 0</formula>
    </cfRule>
  </conditionalFormatting>
  <conditionalFormatting sqref="D50">
    <cfRule type="expression" priority="51">
      <formula>SEARCH("BILLING DONE", $B50) &gt; 0</formula>
    </cfRule>
    <cfRule type="expression" dxfId="445" priority="52">
      <formula>SEARCH("NOT BILLED", $B50) &gt; 0</formula>
    </cfRule>
  </conditionalFormatting>
  <conditionalFormatting sqref="D54">
    <cfRule type="expression" priority="47">
      <formula>SEARCH("BILLING DONE", $B54) &gt; 0</formula>
    </cfRule>
    <cfRule type="expression" dxfId="444" priority="48">
      <formula>SEARCH("NOT BILLED", $B54) &gt; 0</formula>
    </cfRule>
  </conditionalFormatting>
  <conditionalFormatting sqref="D58">
    <cfRule type="expression" priority="43">
      <formula>SEARCH("BILLING DONE", $B58) &gt; 0</formula>
    </cfRule>
    <cfRule type="expression" dxfId="443" priority="44">
      <formula>SEARCH("NOT BILLED", $B58) &gt; 0</formula>
    </cfRule>
  </conditionalFormatting>
  <conditionalFormatting sqref="D61">
    <cfRule type="expression" priority="39">
      <formula>SEARCH("BILLING DONE", $B61) &gt; 0</formula>
    </cfRule>
    <cfRule type="expression" dxfId="442" priority="40">
      <formula>SEARCH("NOT BILLED", $B61) &gt; 0</formula>
    </cfRule>
  </conditionalFormatting>
  <conditionalFormatting sqref="D62">
    <cfRule type="expression" priority="77">
      <formula>SEARCH("BILLING DONE", #REF!) &gt; 0</formula>
    </cfRule>
    <cfRule type="expression" dxfId="441" priority="78">
      <formula>SEARCH("NOT BILLED", #REF!) &gt; 0</formula>
    </cfRule>
  </conditionalFormatting>
  <conditionalFormatting sqref="D64">
    <cfRule type="expression" priority="35">
      <formula>SEARCH("BILLING DONE", $B64) &gt; 0</formula>
    </cfRule>
    <cfRule type="expression" dxfId="440" priority="36">
      <formula>SEARCH("NOT BILLED", $B64) &gt; 0</formula>
    </cfRule>
  </conditionalFormatting>
  <conditionalFormatting sqref="D67">
    <cfRule type="expression" priority="31">
      <formula>SEARCH("BILLING DONE", $B67) &gt; 0</formula>
    </cfRule>
    <cfRule type="expression" dxfId="439" priority="32">
      <formula>SEARCH("NOT BILLED", $B67) &gt; 0</formula>
    </cfRule>
  </conditionalFormatting>
  <conditionalFormatting sqref="D70">
    <cfRule type="expression" priority="27">
      <formula>SEARCH("BILLING DONE", $B70) &gt; 0</formula>
    </cfRule>
    <cfRule type="expression" dxfId="438" priority="28">
      <formula>SEARCH("NOT BILLED", $B70) &gt; 0</formula>
    </cfRule>
  </conditionalFormatting>
  <conditionalFormatting sqref="D73">
    <cfRule type="expression" priority="23">
      <formula>SEARCH("BILLING DONE", $B73) &gt; 0</formula>
    </cfRule>
    <cfRule type="expression" dxfId="437" priority="24">
      <formula>SEARCH("NOT BILLED", $B73) &gt; 0</formula>
    </cfRule>
  </conditionalFormatting>
  <conditionalFormatting sqref="D78">
    <cfRule type="expression" priority="15">
      <formula>SEARCH("BILLING DONE", $B78) &gt; 0</formula>
    </cfRule>
    <cfRule type="expression" dxfId="436" priority="16">
      <formula>SEARCH("NOT BILLED", $B78) &gt; 0</formula>
    </cfRule>
  </conditionalFormatting>
  <conditionalFormatting sqref="D81">
    <cfRule type="expression" priority="11">
      <formula>SEARCH("BILLING DONE", $B81) &gt; 0</formula>
    </cfRule>
    <cfRule type="expression" dxfId="435" priority="12">
      <formula>SEARCH("NOT BILLED", $B81) &gt; 0</formula>
    </cfRule>
  </conditionalFormatting>
  <conditionalFormatting sqref="D76:E76">
    <cfRule type="expression" priority="17">
      <formula>SEARCH("BILLING DONE", $B76) &gt; 0</formula>
    </cfRule>
    <cfRule type="expression" dxfId="434" priority="18">
      <formula>SEARCH("NOT BILLED", $B76) &gt; 0</formula>
    </cfRule>
  </conditionalFormatting>
  <conditionalFormatting sqref="D85:E85">
    <cfRule type="expression" priority="3">
      <formula>SEARCH("BILLING DONE", $B85) &gt; 0</formula>
    </cfRule>
    <cfRule type="expression" dxfId="433" priority="4">
      <formula>SEARCH("NOT BILLED", $B85) &gt; 0</formula>
    </cfRule>
  </conditionalFormatting>
  <conditionalFormatting sqref="D87:E87">
    <cfRule type="expression" priority="1">
      <formula>SEARCH("BILLING DONE", $B87) &gt; 0</formula>
    </cfRule>
    <cfRule type="expression" dxfId="432" priority="2">
      <formula>SEARCH("NOT BILLED", $B87) &gt; 0</formula>
    </cfRule>
  </conditionalFormatting>
  <conditionalFormatting sqref="D95:E95">
    <cfRule type="expression" priority="85">
      <formula>SEARCH("BILLING DONE", $B95) &gt; 0</formula>
    </cfRule>
    <cfRule type="expression" dxfId="431" priority="86">
      <formula>SEARCH("NOT BILLED", $B95) &gt; 0</formula>
    </cfRule>
  </conditionalFormatting>
  <conditionalFormatting sqref="E46:E48">
    <cfRule type="expression" priority="53">
      <formula>SEARCH("BILLING DONE", $B46) &gt; 0</formula>
    </cfRule>
    <cfRule type="expression" dxfId="430" priority="54">
      <formula>SEARCH("NOT BILLED", $B46) &gt; 0</formula>
    </cfRule>
  </conditionalFormatting>
  <conditionalFormatting sqref="E50:E52">
    <cfRule type="expression" priority="49">
      <formula>SEARCH("BILLING DONE", $B50) &gt; 0</formula>
    </cfRule>
    <cfRule type="expression" dxfId="429" priority="50">
      <formula>SEARCH("NOT BILLED", $B50) &gt; 0</formula>
    </cfRule>
  </conditionalFormatting>
  <conditionalFormatting sqref="E54:E56">
    <cfRule type="expression" priority="45">
      <formula>SEARCH("BILLING DONE", $B54) &gt; 0</formula>
    </cfRule>
    <cfRule type="expression" dxfId="428" priority="46">
      <formula>SEARCH("NOT BILLED", $B54) &gt; 0</formula>
    </cfRule>
  </conditionalFormatting>
  <conditionalFormatting sqref="E58:E59">
    <cfRule type="expression" priority="41">
      <formula>SEARCH("BILLING DONE", $B58) &gt; 0</formula>
    </cfRule>
    <cfRule type="expression" dxfId="427" priority="42">
      <formula>SEARCH("NOT BILLED", $B58) &gt; 0</formula>
    </cfRule>
  </conditionalFormatting>
  <conditionalFormatting sqref="E61:E62">
    <cfRule type="expression" priority="37">
      <formula>SEARCH("BILLING DONE", $B61) &gt; 0</formula>
    </cfRule>
    <cfRule type="expression" dxfId="426" priority="38">
      <formula>SEARCH("NOT BILLED", $B61) &gt; 0</formula>
    </cfRule>
  </conditionalFormatting>
  <conditionalFormatting sqref="E64:E65">
    <cfRule type="expression" priority="33">
      <formula>SEARCH("BILLING DONE", $B64) &gt; 0</formula>
    </cfRule>
    <cfRule type="expression" dxfId="425" priority="34">
      <formula>SEARCH("NOT BILLED", $B64) &gt; 0</formula>
    </cfRule>
  </conditionalFormatting>
  <conditionalFormatting sqref="E67:E68">
    <cfRule type="expression" priority="29">
      <formula>SEARCH("BILLING DONE", $B67) &gt; 0</formula>
    </cfRule>
    <cfRule type="expression" dxfId="424" priority="30">
      <formula>SEARCH("NOT BILLED", $B67) &gt; 0</formula>
    </cfRule>
  </conditionalFormatting>
  <conditionalFormatting sqref="E70:E71">
    <cfRule type="expression" priority="25">
      <formula>SEARCH("BILLING DONE", $B70) &gt; 0</formula>
    </cfRule>
    <cfRule type="expression" dxfId="423" priority="26">
      <formula>SEARCH("NOT BILLED", $B70) &gt; 0</formula>
    </cfRule>
  </conditionalFormatting>
  <conditionalFormatting sqref="E73:E74">
    <cfRule type="expression" priority="21">
      <formula>SEARCH("BILLING DONE", $B73) &gt; 0</formula>
    </cfRule>
    <cfRule type="expression" dxfId="422" priority="22">
      <formula>SEARCH("NOT BILLED", $B73) &gt; 0</formula>
    </cfRule>
  </conditionalFormatting>
  <conditionalFormatting sqref="E78:E79">
    <cfRule type="expression" priority="13">
      <formula>SEARCH("BILLING DONE", $B78) &gt; 0</formula>
    </cfRule>
    <cfRule type="expression" dxfId="421" priority="14">
      <formula>SEARCH("NOT BILLED", $B78) &gt; 0</formula>
    </cfRule>
  </conditionalFormatting>
  <conditionalFormatting sqref="E81:E83">
    <cfRule type="expression" priority="9">
      <formula>SEARCH("BILLING DONE", $B81) &gt; 0</formula>
    </cfRule>
    <cfRule type="expression" dxfId="420" priority="10">
      <formula>SEARCH("NOT BILLED", $B81) &gt; 0</formula>
    </cfRule>
  </conditionalFormatting>
  <pageMargins left="0.70866141732283472" right="0.70866141732283472" top="0.74803149606299213" bottom="0.74803149606299213" header="0.31496062992125984" footer="0.31496062992125984"/>
  <pageSetup paperSize="8" scale="31" orientation="landscape" horizontalDpi="1200" verticalDpi="1200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72"/>
  <sheetViews>
    <sheetView tabSelected="1" topLeftCell="C229" zoomScale="85" zoomScaleNormal="85" workbookViewId="0">
      <selection activeCell="T8" sqref="T8"/>
    </sheetView>
  </sheetViews>
  <sheetFormatPr defaultRowHeight="15" x14ac:dyDescent="0.25"/>
  <cols>
    <col min="1" max="1" width="14.42578125" style="31" bestFit="1" customWidth="1"/>
    <col min="2" max="2" width="21.42578125" style="31" bestFit="1" customWidth="1"/>
    <col min="3" max="3" width="47" style="31" customWidth="1"/>
    <col min="4" max="4" width="20.7109375" style="31" bestFit="1" customWidth="1"/>
    <col min="5" max="5" width="68.7109375" style="31" customWidth="1"/>
    <col min="6" max="6" width="19.5703125" style="31" bestFit="1" customWidth="1"/>
    <col min="7" max="7" width="24.85546875" style="31" bestFit="1" customWidth="1"/>
    <col min="8" max="8" width="15" style="31" bestFit="1" customWidth="1"/>
    <col min="9" max="9" width="15.7109375" style="31" customWidth="1"/>
    <col min="10" max="10" width="18" style="31" bestFit="1" customWidth="1"/>
    <col min="11" max="11" width="18.28515625" style="31" bestFit="1" customWidth="1"/>
    <col min="12" max="12" width="17.85546875" style="31" bestFit="1" customWidth="1"/>
    <col min="13" max="13" width="18" style="31" bestFit="1" customWidth="1"/>
    <col min="14" max="14" width="14.42578125" style="31" bestFit="1" customWidth="1"/>
    <col min="15" max="15" width="10.140625" style="31" customWidth="1"/>
    <col min="16" max="16" width="14.5703125" style="31" customWidth="1"/>
    <col min="17" max="17" width="22.5703125" style="31" customWidth="1"/>
    <col min="18" max="18" width="32.85546875" style="31" bestFit="1" customWidth="1"/>
    <col min="19" max="19" width="18" style="31" customWidth="1"/>
    <col min="20" max="20" width="18.85546875" style="31" bestFit="1" customWidth="1"/>
    <col min="21" max="21" width="43.7109375" style="31" bestFit="1" customWidth="1"/>
    <col min="22" max="16384" width="9.140625" style="31"/>
  </cols>
  <sheetData>
    <row r="1" spans="1:21" x14ac:dyDescent="0.25">
      <c r="A1" s="118" t="s">
        <v>67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20"/>
    </row>
    <row r="2" spans="1:21" ht="15.75" thickBot="1" x14ac:dyDescent="0.3">
      <c r="A2" s="121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3"/>
    </row>
    <row r="3" spans="1:21" ht="23.25" x14ac:dyDescent="0.25">
      <c r="A3" s="35"/>
      <c r="B3" s="36" t="s">
        <v>68</v>
      </c>
      <c r="C3" s="124" t="s">
        <v>106</v>
      </c>
      <c r="D3" s="125"/>
      <c r="E3" s="126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8"/>
    </row>
    <row r="4" spans="1:21" ht="47.25" thickBot="1" x14ac:dyDescent="0.3">
      <c r="A4" s="37"/>
      <c r="B4" s="38" t="s">
        <v>69</v>
      </c>
      <c r="C4" s="135">
        <v>46146</v>
      </c>
      <c r="D4" s="136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30"/>
    </row>
    <row r="5" spans="1:21" ht="32.25" thickBot="1" x14ac:dyDescent="0.3">
      <c r="A5" s="39" t="s">
        <v>20</v>
      </c>
      <c r="B5" s="40" t="s">
        <v>70</v>
      </c>
      <c r="C5" s="41" t="s">
        <v>71</v>
      </c>
      <c r="D5" s="42" t="s">
        <v>72</v>
      </c>
      <c r="E5" s="41" t="s">
        <v>73</v>
      </c>
      <c r="F5" s="43" t="s">
        <v>74</v>
      </c>
      <c r="G5" s="42" t="s">
        <v>75</v>
      </c>
      <c r="H5" s="43" t="s">
        <v>278</v>
      </c>
      <c r="I5" s="43" t="s">
        <v>76</v>
      </c>
      <c r="J5" s="42" t="s">
        <v>77</v>
      </c>
      <c r="K5" s="42" t="s">
        <v>78</v>
      </c>
      <c r="L5" s="42" t="s">
        <v>79</v>
      </c>
      <c r="M5" s="42" t="s">
        <v>80</v>
      </c>
      <c r="N5" s="42" t="s">
        <v>81</v>
      </c>
      <c r="O5" s="42" t="s">
        <v>82</v>
      </c>
      <c r="P5" s="42" t="s">
        <v>312</v>
      </c>
      <c r="Q5" s="42" t="s">
        <v>311</v>
      </c>
      <c r="R5" s="42" t="s">
        <v>83</v>
      </c>
      <c r="S5" s="42" t="s">
        <v>243</v>
      </c>
      <c r="T5" s="42" t="s">
        <v>84</v>
      </c>
      <c r="U5" s="44" t="s">
        <v>85</v>
      </c>
    </row>
    <row r="6" spans="1:21" ht="15.75" x14ac:dyDescent="0.25">
      <c r="A6" s="45"/>
      <c r="B6" s="46"/>
      <c r="C6" s="47"/>
      <c r="D6" s="48"/>
      <c r="E6" s="47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50"/>
      <c r="S6" s="50"/>
      <c r="T6" s="49"/>
      <c r="U6" s="51"/>
    </row>
    <row r="7" spans="1:21" x14ac:dyDescent="0.25">
      <c r="A7" s="34">
        <v>1</v>
      </c>
      <c r="B7" s="25"/>
      <c r="C7" s="26" t="s">
        <v>95</v>
      </c>
      <c r="D7" s="25" t="s">
        <v>86</v>
      </c>
      <c r="E7" s="52" t="s">
        <v>107</v>
      </c>
      <c r="F7" s="53">
        <v>46082</v>
      </c>
      <c r="G7" s="53" t="s">
        <v>62</v>
      </c>
      <c r="H7" s="53">
        <v>46357</v>
      </c>
      <c r="I7" s="53"/>
      <c r="J7" s="54"/>
      <c r="K7" s="54">
        <v>2.8</v>
      </c>
      <c r="L7" s="54"/>
      <c r="M7" s="32"/>
      <c r="N7" s="55"/>
      <c r="O7" s="55"/>
      <c r="P7" s="55"/>
      <c r="Q7" s="55"/>
      <c r="R7" s="56" t="s">
        <v>33</v>
      </c>
      <c r="S7" s="56"/>
      <c r="T7" s="32" t="s">
        <v>13</v>
      </c>
      <c r="U7" s="33"/>
    </row>
    <row r="8" spans="1:21" x14ac:dyDescent="0.25">
      <c r="A8" s="34"/>
      <c r="B8" s="25"/>
      <c r="C8" s="26" t="s">
        <v>95</v>
      </c>
      <c r="D8" s="25"/>
      <c r="E8" s="52" t="s">
        <v>121</v>
      </c>
      <c r="F8" s="53">
        <v>46082</v>
      </c>
      <c r="G8" s="53" t="s">
        <v>62</v>
      </c>
      <c r="H8" s="53" t="s">
        <v>123</v>
      </c>
      <c r="I8" s="53"/>
      <c r="J8" s="54"/>
      <c r="K8" s="54">
        <v>6.3540000000000001</v>
      </c>
      <c r="L8" s="54"/>
      <c r="M8" s="32"/>
      <c r="N8" s="55"/>
      <c r="O8" s="55"/>
      <c r="P8" s="55"/>
      <c r="Q8" s="55"/>
      <c r="R8" s="56" t="s">
        <v>33</v>
      </c>
      <c r="S8" s="56"/>
      <c r="T8" s="32" t="s">
        <v>51</v>
      </c>
      <c r="U8" s="33"/>
    </row>
    <row r="9" spans="1:21" x14ac:dyDescent="0.25">
      <c r="A9" s="34"/>
      <c r="B9" s="25"/>
      <c r="C9" s="26" t="s">
        <v>95</v>
      </c>
      <c r="D9" s="25"/>
      <c r="E9" s="52" t="s">
        <v>122</v>
      </c>
      <c r="F9" s="53">
        <v>46082</v>
      </c>
      <c r="G9" s="53" t="s">
        <v>62</v>
      </c>
      <c r="H9" s="53">
        <v>46175</v>
      </c>
      <c r="I9" s="53"/>
      <c r="J9" s="54"/>
      <c r="K9" s="54">
        <v>3.835</v>
      </c>
      <c r="L9" s="54"/>
      <c r="M9" s="32"/>
      <c r="N9" s="55"/>
      <c r="O9" s="55"/>
      <c r="P9" s="55"/>
      <c r="Q9" s="55"/>
      <c r="R9" s="56" t="s">
        <v>33</v>
      </c>
      <c r="S9" s="56"/>
      <c r="T9" s="32" t="s">
        <v>51</v>
      </c>
      <c r="U9" s="33"/>
    </row>
    <row r="10" spans="1:21" x14ac:dyDescent="0.25">
      <c r="A10" s="57"/>
      <c r="B10" s="58"/>
      <c r="C10" s="59"/>
      <c r="D10" s="60"/>
      <c r="E10" s="60"/>
      <c r="F10" s="61"/>
      <c r="G10" s="62"/>
      <c r="H10" s="61"/>
      <c r="I10" s="63"/>
      <c r="J10" s="64"/>
      <c r="K10" s="64"/>
      <c r="L10" s="64"/>
      <c r="M10" s="64"/>
      <c r="N10" s="64"/>
      <c r="O10" s="64"/>
      <c r="P10" s="64"/>
      <c r="Q10" s="64"/>
      <c r="R10" s="65"/>
      <c r="S10" s="65"/>
      <c r="T10" s="64"/>
      <c r="U10" s="66"/>
    </row>
    <row r="11" spans="1:21" x14ac:dyDescent="0.25">
      <c r="A11" s="34">
        <v>2</v>
      </c>
      <c r="B11" s="25"/>
      <c r="C11" s="26" t="s">
        <v>112</v>
      </c>
      <c r="D11" s="25" t="s">
        <v>86</v>
      </c>
      <c r="E11" s="52" t="s">
        <v>107</v>
      </c>
      <c r="F11" s="53">
        <v>46174</v>
      </c>
      <c r="G11" s="53" t="s">
        <v>62</v>
      </c>
      <c r="H11" s="53" t="s">
        <v>101</v>
      </c>
      <c r="I11" s="53"/>
      <c r="J11" s="54"/>
      <c r="K11" s="54">
        <v>6.0570000000000004</v>
      </c>
      <c r="L11" s="54"/>
      <c r="M11" s="32"/>
      <c r="N11" s="55"/>
      <c r="O11" s="55"/>
      <c r="P11" s="55"/>
      <c r="Q11" s="55"/>
      <c r="R11" s="56" t="s">
        <v>124</v>
      </c>
      <c r="S11" s="56"/>
      <c r="T11" s="32" t="s">
        <v>125</v>
      </c>
      <c r="U11" s="33"/>
    </row>
    <row r="12" spans="1:21" x14ac:dyDescent="0.25">
      <c r="A12" s="34"/>
      <c r="B12" s="25"/>
      <c r="C12" s="26" t="s">
        <v>112</v>
      </c>
      <c r="D12" s="25"/>
      <c r="E12" s="52" t="s">
        <v>113</v>
      </c>
      <c r="F12" s="53">
        <v>46174</v>
      </c>
      <c r="G12" s="53" t="s">
        <v>62</v>
      </c>
      <c r="H12" s="53" t="s">
        <v>119</v>
      </c>
      <c r="I12" s="53"/>
      <c r="J12" s="54"/>
      <c r="K12" s="54">
        <v>8.1120000000000001</v>
      </c>
      <c r="L12" s="54"/>
      <c r="M12" s="32"/>
      <c r="N12" s="55"/>
      <c r="O12" s="55"/>
      <c r="P12" s="55"/>
      <c r="Q12" s="55"/>
      <c r="R12" s="56" t="s">
        <v>124</v>
      </c>
      <c r="S12" s="56"/>
      <c r="T12" s="32" t="s">
        <v>125</v>
      </c>
      <c r="U12" s="33"/>
    </row>
    <row r="13" spans="1:21" x14ac:dyDescent="0.25">
      <c r="A13" s="34"/>
      <c r="B13" s="25"/>
      <c r="C13" s="26" t="s">
        <v>112</v>
      </c>
      <c r="D13" s="25"/>
      <c r="E13" s="52" t="s">
        <v>114</v>
      </c>
      <c r="F13" s="53">
        <v>46174</v>
      </c>
      <c r="G13" s="53" t="s">
        <v>62</v>
      </c>
      <c r="H13" s="53" t="s">
        <v>119</v>
      </c>
      <c r="I13" s="53"/>
      <c r="J13" s="54"/>
      <c r="K13" s="54">
        <v>4.4340000000000002</v>
      </c>
      <c r="L13" s="54"/>
      <c r="M13" s="32"/>
      <c r="N13" s="55"/>
      <c r="O13" s="55"/>
      <c r="P13" s="55"/>
      <c r="Q13" s="55"/>
      <c r="R13" s="56" t="s">
        <v>124</v>
      </c>
      <c r="S13" s="56"/>
      <c r="T13" s="32" t="s">
        <v>125</v>
      </c>
      <c r="U13" s="33"/>
    </row>
    <row r="14" spans="1:21" x14ac:dyDescent="0.25">
      <c r="A14" s="34"/>
      <c r="B14" s="25"/>
      <c r="C14" s="26" t="s">
        <v>112</v>
      </c>
      <c r="D14" s="25"/>
      <c r="E14" s="52" t="s">
        <v>115</v>
      </c>
      <c r="F14" s="53">
        <v>46297</v>
      </c>
      <c r="G14" s="53" t="s">
        <v>62</v>
      </c>
      <c r="H14" s="53" t="s">
        <v>120</v>
      </c>
      <c r="I14" s="53"/>
      <c r="J14" s="54"/>
      <c r="K14" s="54">
        <v>0.251</v>
      </c>
      <c r="L14" s="54"/>
      <c r="M14" s="32"/>
      <c r="N14" s="55"/>
      <c r="O14" s="55"/>
      <c r="P14" s="55"/>
      <c r="Q14" s="55"/>
      <c r="R14" s="56" t="s">
        <v>33</v>
      </c>
      <c r="S14" s="56"/>
      <c r="T14" s="32" t="s">
        <v>125</v>
      </c>
      <c r="U14" s="33"/>
    </row>
    <row r="15" spans="1:21" x14ac:dyDescent="0.25">
      <c r="A15" s="34"/>
      <c r="B15" s="25"/>
      <c r="C15" s="26" t="s">
        <v>112</v>
      </c>
      <c r="D15" s="25"/>
      <c r="E15" s="52" t="s">
        <v>116</v>
      </c>
      <c r="F15" s="53">
        <v>46297</v>
      </c>
      <c r="G15" s="53" t="s">
        <v>62</v>
      </c>
      <c r="H15" s="53" t="s">
        <v>120</v>
      </c>
      <c r="I15" s="53"/>
      <c r="J15" s="54"/>
      <c r="K15" s="54">
        <v>0.19700000000000001</v>
      </c>
      <c r="L15" s="54"/>
      <c r="M15" s="32"/>
      <c r="N15" s="55"/>
      <c r="O15" s="55"/>
      <c r="P15" s="55"/>
      <c r="Q15" s="55"/>
      <c r="R15" s="56" t="s">
        <v>33</v>
      </c>
      <c r="S15" s="56"/>
      <c r="T15" s="32" t="s">
        <v>125</v>
      </c>
      <c r="U15" s="33"/>
    </row>
    <row r="16" spans="1:21" x14ac:dyDescent="0.25">
      <c r="A16" s="34"/>
      <c r="B16" s="25"/>
      <c r="C16" s="26" t="s">
        <v>112</v>
      </c>
      <c r="D16" s="25"/>
      <c r="E16" s="52" t="s">
        <v>117</v>
      </c>
      <c r="F16" s="53">
        <v>46297</v>
      </c>
      <c r="G16" s="53" t="s">
        <v>62</v>
      </c>
      <c r="H16" s="53" t="s">
        <v>120</v>
      </c>
      <c r="I16" s="53"/>
      <c r="J16" s="54"/>
      <c r="K16" s="54">
        <v>1.661</v>
      </c>
      <c r="L16" s="54"/>
      <c r="M16" s="32"/>
      <c r="N16" s="55"/>
      <c r="O16" s="55"/>
      <c r="P16" s="55"/>
      <c r="Q16" s="55"/>
      <c r="R16" s="56" t="s">
        <v>33</v>
      </c>
      <c r="S16" s="56"/>
      <c r="T16" s="32" t="s">
        <v>125</v>
      </c>
      <c r="U16" s="33"/>
    </row>
    <row r="17" spans="1:21" x14ac:dyDescent="0.25">
      <c r="A17" s="34"/>
      <c r="B17" s="26"/>
      <c r="C17" s="26" t="s">
        <v>112</v>
      </c>
      <c r="D17" s="25"/>
      <c r="E17" s="52" t="s">
        <v>419</v>
      </c>
      <c r="F17" s="53" t="s">
        <v>411</v>
      </c>
      <c r="G17" s="53" t="s">
        <v>62</v>
      </c>
      <c r="H17" s="53">
        <v>46028</v>
      </c>
      <c r="I17" s="53"/>
      <c r="J17" s="54"/>
      <c r="K17" s="54">
        <v>0.13100000000000001</v>
      </c>
      <c r="L17" s="54"/>
      <c r="M17" s="32"/>
      <c r="N17" s="55"/>
      <c r="O17" s="55"/>
      <c r="P17" s="53" t="s">
        <v>411</v>
      </c>
      <c r="Q17" s="53" t="s">
        <v>62</v>
      </c>
      <c r="R17" s="56" t="s">
        <v>35</v>
      </c>
      <c r="S17" s="53" t="s">
        <v>62</v>
      </c>
      <c r="T17" s="32" t="s">
        <v>14</v>
      </c>
      <c r="U17" s="33"/>
    </row>
    <row r="18" spans="1:21" x14ac:dyDescent="0.25">
      <c r="A18" s="57"/>
      <c r="B18" s="58"/>
      <c r="C18" s="59"/>
      <c r="D18" s="60"/>
      <c r="E18" s="60"/>
      <c r="F18" s="61"/>
      <c r="G18" s="62"/>
      <c r="H18" s="61"/>
      <c r="I18" s="63"/>
      <c r="J18" s="64"/>
      <c r="K18" s="64"/>
      <c r="L18" s="64"/>
      <c r="M18" s="64"/>
      <c r="N18" s="64"/>
      <c r="O18" s="64"/>
      <c r="P18" s="64"/>
      <c r="Q18" s="64"/>
      <c r="R18" s="65"/>
      <c r="S18" s="65"/>
      <c r="T18" s="64"/>
      <c r="U18" s="66"/>
    </row>
    <row r="19" spans="1:21" x14ac:dyDescent="0.25">
      <c r="A19" s="34">
        <v>3</v>
      </c>
      <c r="B19" s="25"/>
      <c r="C19" s="26" t="s">
        <v>143</v>
      </c>
      <c r="D19" s="25" t="s">
        <v>86</v>
      </c>
      <c r="E19" s="52" t="s">
        <v>29</v>
      </c>
      <c r="F19" s="53">
        <v>46174</v>
      </c>
      <c r="G19" s="53" t="s">
        <v>62</v>
      </c>
      <c r="H19" s="53" t="s">
        <v>101</v>
      </c>
      <c r="I19" s="53"/>
      <c r="J19" s="54"/>
      <c r="K19" s="54">
        <v>13.923</v>
      </c>
      <c r="L19" s="54"/>
      <c r="M19" s="32"/>
      <c r="N19" s="55"/>
      <c r="O19" s="55"/>
      <c r="P19" s="55"/>
      <c r="Q19" s="55"/>
      <c r="R19" s="56" t="s">
        <v>15</v>
      </c>
      <c r="S19" s="56"/>
      <c r="T19" s="32" t="s">
        <v>13</v>
      </c>
      <c r="U19" s="33"/>
    </row>
    <row r="20" spans="1:21" x14ac:dyDescent="0.25">
      <c r="A20" s="34"/>
      <c r="B20" s="25"/>
      <c r="C20" s="26" t="s">
        <v>574</v>
      </c>
      <c r="D20" s="25"/>
      <c r="E20" s="52" t="s">
        <v>53</v>
      </c>
      <c r="F20" s="53">
        <v>46174</v>
      </c>
      <c r="G20" s="53" t="s">
        <v>62</v>
      </c>
      <c r="H20" s="53" t="s">
        <v>142</v>
      </c>
      <c r="I20" s="53"/>
      <c r="J20" s="54"/>
      <c r="K20" s="54">
        <v>0.51600000000000001</v>
      </c>
      <c r="L20" s="54"/>
      <c r="M20" s="32"/>
      <c r="N20" s="55"/>
      <c r="O20" s="55"/>
      <c r="P20" s="55"/>
      <c r="Q20" s="55"/>
      <c r="R20" s="56" t="s">
        <v>111</v>
      </c>
      <c r="S20" s="56"/>
      <c r="T20" s="32" t="s">
        <v>125</v>
      </c>
      <c r="U20" s="33"/>
    </row>
    <row r="21" spans="1:21" x14ac:dyDescent="0.25">
      <c r="A21" s="34"/>
      <c r="B21" s="25"/>
      <c r="C21" s="26" t="s">
        <v>575</v>
      </c>
      <c r="D21" s="25"/>
      <c r="E21" s="52" t="s">
        <v>139</v>
      </c>
      <c r="F21" s="53">
        <v>46174</v>
      </c>
      <c r="G21" s="53" t="s">
        <v>62</v>
      </c>
      <c r="H21" s="53" t="s">
        <v>91</v>
      </c>
      <c r="I21" s="53"/>
      <c r="J21" s="32"/>
      <c r="K21" s="54">
        <v>9.7010000000000005</v>
      </c>
      <c r="L21" s="54"/>
      <c r="M21" s="32"/>
      <c r="N21" s="67"/>
      <c r="O21" s="55"/>
      <c r="P21" s="55"/>
      <c r="Q21" s="55"/>
      <c r="R21" s="56" t="s">
        <v>111</v>
      </c>
      <c r="S21" s="56"/>
      <c r="T21" s="32" t="s">
        <v>125</v>
      </c>
      <c r="U21" s="33"/>
    </row>
    <row r="22" spans="1:21" x14ac:dyDescent="0.25">
      <c r="A22" s="34"/>
      <c r="B22" s="25"/>
      <c r="C22" s="26" t="s">
        <v>576</v>
      </c>
      <c r="D22" s="25"/>
      <c r="E22" s="52" t="s">
        <v>140</v>
      </c>
      <c r="F22" s="53">
        <v>46174</v>
      </c>
      <c r="G22" s="53" t="s">
        <v>62</v>
      </c>
      <c r="H22" s="53" t="s">
        <v>91</v>
      </c>
      <c r="I22" s="53"/>
      <c r="J22" s="32"/>
      <c r="K22" s="54">
        <v>9.4890000000000008</v>
      </c>
      <c r="L22" s="54"/>
      <c r="M22" s="32"/>
      <c r="N22" s="67"/>
      <c r="O22" s="55"/>
      <c r="P22" s="55"/>
      <c r="Q22" s="55"/>
      <c r="R22" s="56" t="s">
        <v>111</v>
      </c>
      <c r="S22" s="56"/>
      <c r="T22" s="32" t="s">
        <v>125</v>
      </c>
      <c r="U22" s="33"/>
    </row>
    <row r="23" spans="1:21" x14ac:dyDescent="0.25">
      <c r="A23" s="57"/>
      <c r="B23" s="58"/>
      <c r="C23" s="59"/>
      <c r="D23" s="60"/>
      <c r="E23" s="60"/>
      <c r="F23" s="61"/>
      <c r="G23" s="62"/>
      <c r="H23" s="61"/>
      <c r="I23" s="63"/>
      <c r="J23" s="64"/>
      <c r="K23" s="64"/>
      <c r="L23" s="64"/>
      <c r="M23" s="64"/>
      <c r="N23" s="64"/>
      <c r="O23" s="64"/>
      <c r="P23" s="64"/>
      <c r="Q23" s="64"/>
      <c r="R23" s="65"/>
      <c r="S23" s="65"/>
      <c r="T23" s="64"/>
      <c r="U23" s="66"/>
    </row>
    <row r="24" spans="1:21" x14ac:dyDescent="0.25">
      <c r="A24" s="34">
        <v>4</v>
      </c>
      <c r="B24" s="25"/>
      <c r="C24" s="26" t="s">
        <v>87</v>
      </c>
      <c r="D24" s="25" t="s">
        <v>86</v>
      </c>
      <c r="E24" s="52" t="s">
        <v>107</v>
      </c>
      <c r="F24" s="53">
        <v>46174</v>
      </c>
      <c r="G24" s="53" t="s">
        <v>62</v>
      </c>
      <c r="H24" s="53" t="s">
        <v>96</v>
      </c>
      <c r="I24" s="53"/>
      <c r="J24" s="32"/>
      <c r="K24" s="54">
        <v>2.5979999999999999</v>
      </c>
      <c r="L24" s="54"/>
      <c r="M24" s="32"/>
      <c r="N24" s="67"/>
      <c r="O24" s="55"/>
      <c r="P24" s="55"/>
      <c r="Q24" s="55"/>
      <c r="R24" s="56" t="s">
        <v>148</v>
      </c>
      <c r="S24" s="56"/>
      <c r="T24" s="32" t="s">
        <v>125</v>
      </c>
      <c r="U24" s="33"/>
    </row>
    <row r="25" spans="1:21" x14ac:dyDescent="0.25">
      <c r="A25" s="34"/>
      <c r="B25" s="25"/>
      <c r="C25" s="26" t="s">
        <v>577</v>
      </c>
      <c r="D25" s="25"/>
      <c r="E25" s="52" t="s">
        <v>144</v>
      </c>
      <c r="F25" s="53">
        <v>46174</v>
      </c>
      <c r="G25" s="53" t="s">
        <v>62</v>
      </c>
      <c r="H25" s="53">
        <v>46083</v>
      </c>
      <c r="I25" s="53"/>
      <c r="J25" s="32"/>
      <c r="K25" s="54">
        <v>2.1520000000000001</v>
      </c>
      <c r="L25" s="54"/>
      <c r="M25" s="32"/>
      <c r="N25" s="67"/>
      <c r="O25" s="55"/>
      <c r="P25" s="55"/>
      <c r="Q25" s="55"/>
      <c r="R25" s="56" t="s">
        <v>148</v>
      </c>
      <c r="S25" s="56"/>
      <c r="T25" s="32" t="s">
        <v>125</v>
      </c>
      <c r="U25" s="33"/>
    </row>
    <row r="26" spans="1:21" x14ac:dyDescent="0.25">
      <c r="A26" s="34"/>
      <c r="B26" s="25"/>
      <c r="C26" s="26" t="s">
        <v>578</v>
      </c>
      <c r="D26" s="25"/>
      <c r="E26" s="52" t="s">
        <v>145</v>
      </c>
      <c r="F26" s="53">
        <v>46174</v>
      </c>
      <c r="G26" s="53" t="s">
        <v>62</v>
      </c>
      <c r="H26" s="53" t="s">
        <v>147</v>
      </c>
      <c r="I26" s="53"/>
      <c r="J26" s="32"/>
      <c r="K26" s="54">
        <v>2.5870000000000002</v>
      </c>
      <c r="L26" s="54"/>
      <c r="M26" s="32"/>
      <c r="N26" s="67"/>
      <c r="O26" s="55"/>
      <c r="P26" s="55"/>
      <c r="Q26" s="55"/>
      <c r="R26" s="56" t="s">
        <v>31</v>
      </c>
      <c r="S26" s="56"/>
      <c r="T26" s="32" t="s">
        <v>125</v>
      </c>
      <c r="U26" s="33"/>
    </row>
    <row r="27" spans="1:21" x14ac:dyDescent="0.25">
      <c r="A27" s="34"/>
      <c r="B27" s="25"/>
      <c r="C27" s="26" t="s">
        <v>579</v>
      </c>
      <c r="D27" s="25"/>
      <c r="E27" s="52" t="s">
        <v>146</v>
      </c>
      <c r="F27" s="53">
        <v>46174</v>
      </c>
      <c r="G27" s="53" t="s">
        <v>62</v>
      </c>
      <c r="H27" s="53">
        <v>46056</v>
      </c>
      <c r="I27" s="53"/>
      <c r="J27" s="54"/>
      <c r="K27" s="54">
        <v>1.643</v>
      </c>
      <c r="L27" s="54"/>
      <c r="M27" s="32"/>
      <c r="N27" s="55"/>
      <c r="O27" s="55"/>
      <c r="P27" s="55"/>
      <c r="Q27" s="55"/>
      <c r="R27" s="56" t="s">
        <v>149</v>
      </c>
      <c r="S27" s="56"/>
      <c r="T27" s="32" t="s">
        <v>125</v>
      </c>
      <c r="U27" s="33"/>
    </row>
    <row r="28" spans="1:21" x14ac:dyDescent="0.25">
      <c r="A28" s="57"/>
      <c r="B28" s="58"/>
      <c r="C28" s="59"/>
      <c r="D28" s="60"/>
      <c r="E28" s="60"/>
      <c r="F28" s="61"/>
      <c r="G28" s="62"/>
      <c r="H28" s="61"/>
      <c r="I28" s="63"/>
      <c r="J28" s="64"/>
      <c r="K28" s="64"/>
      <c r="L28" s="64"/>
      <c r="M28" s="64"/>
      <c r="N28" s="64"/>
      <c r="O28" s="64"/>
      <c r="P28" s="64"/>
      <c r="Q28" s="64"/>
      <c r="R28" s="65"/>
      <c r="S28" s="65"/>
      <c r="T28" s="64"/>
      <c r="U28" s="66"/>
    </row>
    <row r="29" spans="1:21" x14ac:dyDescent="0.25">
      <c r="A29" s="34">
        <v>5</v>
      </c>
      <c r="B29" s="25"/>
      <c r="C29" s="26" t="s">
        <v>100</v>
      </c>
      <c r="D29" s="25" t="s">
        <v>86</v>
      </c>
      <c r="E29" s="52" t="s">
        <v>107</v>
      </c>
      <c r="F29" s="53">
        <v>46235</v>
      </c>
      <c r="G29" s="53" t="s">
        <v>62</v>
      </c>
      <c r="H29" s="53" t="s">
        <v>118</v>
      </c>
      <c r="I29" s="53"/>
      <c r="J29" s="54"/>
      <c r="K29" s="54">
        <v>5.0410000000000004</v>
      </c>
      <c r="L29" s="54"/>
      <c r="M29" s="32"/>
      <c r="N29" s="55"/>
      <c r="O29" s="55"/>
      <c r="P29" s="55"/>
      <c r="Q29" s="55"/>
      <c r="R29" s="56" t="s">
        <v>111</v>
      </c>
      <c r="S29" s="56"/>
      <c r="T29" s="32" t="s">
        <v>13</v>
      </c>
      <c r="U29" s="33"/>
    </row>
    <row r="30" spans="1:21" x14ac:dyDescent="0.25">
      <c r="A30" s="34"/>
      <c r="B30" s="25"/>
      <c r="C30" s="26" t="s">
        <v>100</v>
      </c>
      <c r="D30" s="25"/>
      <c r="E30" s="52" t="s">
        <v>108</v>
      </c>
      <c r="F30" s="53">
        <v>46235</v>
      </c>
      <c r="G30" s="53" t="s">
        <v>62</v>
      </c>
      <c r="H30" s="53" t="s">
        <v>110</v>
      </c>
      <c r="I30" s="53"/>
      <c r="J30" s="54"/>
      <c r="K30" s="54">
        <v>6.9139999999999997</v>
      </c>
      <c r="L30" s="54"/>
      <c r="M30" s="32"/>
      <c r="N30" s="55"/>
      <c r="O30" s="55"/>
      <c r="P30" s="55"/>
      <c r="Q30" s="55"/>
      <c r="R30" s="56" t="s">
        <v>111</v>
      </c>
      <c r="S30" s="56"/>
      <c r="T30" s="32" t="s">
        <v>13</v>
      </c>
      <c r="U30" s="33"/>
    </row>
    <row r="31" spans="1:21" x14ac:dyDescent="0.25">
      <c r="A31" s="34"/>
      <c r="B31" s="25"/>
      <c r="C31" s="26" t="s">
        <v>100</v>
      </c>
      <c r="D31" s="25"/>
      <c r="E31" s="52" t="s">
        <v>109</v>
      </c>
      <c r="F31" s="53">
        <v>46235</v>
      </c>
      <c r="G31" s="53" t="s">
        <v>62</v>
      </c>
      <c r="H31" s="53" t="s">
        <v>110</v>
      </c>
      <c r="I31" s="53"/>
      <c r="J31" s="54"/>
      <c r="K31" s="54">
        <v>6.7220000000000004</v>
      </c>
      <c r="L31" s="54"/>
      <c r="M31" s="32"/>
      <c r="N31" s="55"/>
      <c r="O31" s="55"/>
      <c r="P31" s="55"/>
      <c r="Q31" s="55"/>
      <c r="R31" s="56" t="s">
        <v>111</v>
      </c>
      <c r="S31" s="56"/>
      <c r="T31" s="32" t="s">
        <v>13</v>
      </c>
      <c r="U31" s="33"/>
    </row>
    <row r="32" spans="1:21" x14ac:dyDescent="0.25">
      <c r="A32" s="57"/>
      <c r="B32" s="58"/>
      <c r="C32" s="59"/>
      <c r="D32" s="60"/>
      <c r="E32" s="60"/>
      <c r="F32" s="61"/>
      <c r="G32" s="62"/>
      <c r="H32" s="61"/>
      <c r="I32" s="63"/>
      <c r="J32" s="64"/>
      <c r="K32" s="64"/>
      <c r="L32" s="64"/>
      <c r="M32" s="64"/>
      <c r="N32" s="64"/>
      <c r="O32" s="64"/>
      <c r="P32" s="64"/>
      <c r="Q32" s="64"/>
      <c r="R32" s="65"/>
      <c r="S32" s="65"/>
      <c r="T32" s="64"/>
      <c r="U32" s="66"/>
    </row>
    <row r="33" spans="1:21" x14ac:dyDescent="0.25">
      <c r="A33" s="34">
        <v>6</v>
      </c>
      <c r="B33" s="25"/>
      <c r="C33" s="26" t="s">
        <v>126</v>
      </c>
      <c r="D33" s="25" t="s">
        <v>86</v>
      </c>
      <c r="E33" s="52" t="s">
        <v>127</v>
      </c>
      <c r="F33" s="53" t="s">
        <v>96</v>
      </c>
      <c r="G33" s="53" t="s">
        <v>62</v>
      </c>
      <c r="H33" s="53" t="s">
        <v>133</v>
      </c>
      <c r="I33" s="53"/>
      <c r="J33" s="54"/>
      <c r="K33" s="54">
        <v>16.64</v>
      </c>
      <c r="L33" s="54"/>
      <c r="M33" s="32"/>
      <c r="N33" s="55"/>
      <c r="O33" s="55"/>
      <c r="P33" s="55"/>
      <c r="Q33" s="55"/>
      <c r="R33" s="56" t="s">
        <v>35</v>
      </c>
      <c r="S33" s="56"/>
      <c r="T33" s="32" t="s">
        <v>51</v>
      </c>
      <c r="U33" s="33"/>
    </row>
    <row r="34" spans="1:21" x14ac:dyDescent="0.25">
      <c r="A34" s="34"/>
      <c r="B34" s="25"/>
      <c r="C34" s="26" t="s">
        <v>126</v>
      </c>
      <c r="D34" s="25"/>
      <c r="E34" s="52" t="s">
        <v>128</v>
      </c>
      <c r="F34" s="53" t="s">
        <v>96</v>
      </c>
      <c r="G34" s="53" t="s">
        <v>62</v>
      </c>
      <c r="H34" s="53" t="s">
        <v>134</v>
      </c>
      <c r="I34" s="53"/>
      <c r="J34" s="54"/>
      <c r="K34" s="54">
        <v>5.3010000000000002</v>
      </c>
      <c r="L34" s="54"/>
      <c r="M34" s="32"/>
      <c r="N34" s="55"/>
      <c r="O34" s="55"/>
      <c r="P34" s="55"/>
      <c r="Q34" s="55"/>
      <c r="R34" s="56" t="s">
        <v>35</v>
      </c>
      <c r="S34" s="56"/>
      <c r="T34" s="32" t="s">
        <v>137</v>
      </c>
      <c r="U34" s="33"/>
    </row>
    <row r="35" spans="1:21" x14ac:dyDescent="0.25">
      <c r="A35" s="34"/>
      <c r="B35" s="25"/>
      <c r="C35" s="26" t="s">
        <v>126</v>
      </c>
      <c r="D35" s="25"/>
      <c r="E35" s="52" t="s">
        <v>129</v>
      </c>
      <c r="F35" s="53" t="s">
        <v>96</v>
      </c>
      <c r="G35" s="53" t="s">
        <v>62</v>
      </c>
      <c r="H35" s="53" t="s">
        <v>134</v>
      </c>
      <c r="I35" s="53"/>
      <c r="J35" s="54"/>
      <c r="K35" s="54">
        <v>17.952999999999999</v>
      </c>
      <c r="L35" s="54"/>
      <c r="M35" s="32"/>
      <c r="N35" s="55"/>
      <c r="O35" s="55"/>
      <c r="P35" s="55"/>
      <c r="Q35" s="55"/>
      <c r="R35" s="56" t="s">
        <v>33</v>
      </c>
      <c r="S35" s="56"/>
      <c r="T35" s="32" t="s">
        <v>51</v>
      </c>
      <c r="U35" s="33"/>
    </row>
    <row r="36" spans="1:21" x14ac:dyDescent="0.25">
      <c r="A36" s="34"/>
      <c r="B36" s="25"/>
      <c r="C36" s="26" t="s">
        <v>126</v>
      </c>
      <c r="D36" s="25"/>
      <c r="E36" s="52" t="s">
        <v>130</v>
      </c>
      <c r="F36" s="53" t="s">
        <v>96</v>
      </c>
      <c r="G36" s="53" t="s">
        <v>62</v>
      </c>
      <c r="H36" s="53" t="s">
        <v>133</v>
      </c>
      <c r="I36" s="53"/>
      <c r="J36" s="54"/>
      <c r="K36" s="54">
        <v>0.67500000000000004</v>
      </c>
      <c r="L36" s="54"/>
      <c r="M36" s="32"/>
      <c r="N36" s="55"/>
      <c r="O36" s="55"/>
      <c r="P36" s="55"/>
      <c r="Q36" s="55"/>
      <c r="R36" s="56" t="s">
        <v>35</v>
      </c>
      <c r="S36" s="56"/>
      <c r="T36" s="32" t="s">
        <v>51</v>
      </c>
      <c r="U36" s="33"/>
    </row>
    <row r="37" spans="1:21" x14ac:dyDescent="0.25">
      <c r="A37" s="34"/>
      <c r="B37" s="25"/>
      <c r="C37" s="26" t="s">
        <v>126</v>
      </c>
      <c r="D37" s="25"/>
      <c r="E37" s="52" t="s">
        <v>131</v>
      </c>
      <c r="F37" s="53" t="s">
        <v>96</v>
      </c>
      <c r="G37" s="53" t="s">
        <v>62</v>
      </c>
      <c r="H37" s="53" t="s">
        <v>135</v>
      </c>
      <c r="I37" s="53"/>
      <c r="J37" s="54"/>
      <c r="K37" s="54">
        <v>7.23</v>
      </c>
      <c r="L37" s="54"/>
      <c r="M37" s="32"/>
      <c r="N37" s="55"/>
      <c r="O37" s="55"/>
      <c r="P37" s="55"/>
      <c r="Q37" s="55"/>
      <c r="R37" s="56" t="s">
        <v>35</v>
      </c>
      <c r="S37" s="56"/>
      <c r="T37" s="32" t="s">
        <v>51</v>
      </c>
      <c r="U37" s="33"/>
    </row>
    <row r="38" spans="1:21" x14ac:dyDescent="0.25">
      <c r="A38" s="34"/>
      <c r="B38" s="25"/>
      <c r="C38" s="26" t="s">
        <v>126</v>
      </c>
      <c r="D38" s="25"/>
      <c r="E38" s="52" t="s">
        <v>132</v>
      </c>
      <c r="F38" s="53" t="s">
        <v>96</v>
      </c>
      <c r="G38" s="53" t="s">
        <v>62</v>
      </c>
      <c r="H38" s="53" t="s">
        <v>136</v>
      </c>
      <c r="I38" s="53"/>
      <c r="J38" s="54"/>
      <c r="K38" s="54">
        <v>7.875</v>
      </c>
      <c r="L38" s="54"/>
      <c r="M38" s="32"/>
      <c r="N38" s="55"/>
      <c r="O38" s="55"/>
      <c r="P38" s="55"/>
      <c r="Q38" s="55"/>
      <c r="R38" s="56" t="s">
        <v>35</v>
      </c>
      <c r="S38" s="56"/>
      <c r="T38" s="32" t="s">
        <v>51</v>
      </c>
      <c r="U38" s="33"/>
    </row>
    <row r="39" spans="1:21" x14ac:dyDescent="0.25">
      <c r="A39" s="57"/>
      <c r="B39" s="58"/>
      <c r="C39" s="59"/>
      <c r="D39" s="60"/>
      <c r="E39" s="60"/>
      <c r="F39" s="61"/>
      <c r="G39" s="62"/>
      <c r="H39" s="61"/>
      <c r="I39" s="63"/>
      <c r="J39" s="64"/>
      <c r="K39" s="64"/>
      <c r="L39" s="64"/>
      <c r="M39" s="64"/>
      <c r="N39" s="64"/>
      <c r="O39" s="64"/>
      <c r="P39" s="64"/>
      <c r="Q39" s="64"/>
      <c r="R39" s="65"/>
      <c r="S39" s="65"/>
      <c r="T39" s="64"/>
      <c r="U39" s="66"/>
    </row>
    <row r="40" spans="1:21" x14ac:dyDescent="0.25">
      <c r="A40" s="34">
        <v>7</v>
      </c>
      <c r="B40" s="25"/>
      <c r="C40" s="26" t="s">
        <v>138</v>
      </c>
      <c r="D40" s="25" t="s">
        <v>86</v>
      </c>
      <c r="E40" s="52" t="s">
        <v>29</v>
      </c>
      <c r="F40" s="53" t="s">
        <v>101</v>
      </c>
      <c r="G40" s="53" t="s">
        <v>62</v>
      </c>
      <c r="H40" s="53" t="s">
        <v>98</v>
      </c>
      <c r="I40" s="53"/>
      <c r="J40" s="54"/>
      <c r="K40" s="54">
        <v>9.4740000000000002</v>
      </c>
      <c r="L40" s="54"/>
      <c r="M40" s="32"/>
      <c r="N40" s="55"/>
      <c r="O40" s="55"/>
      <c r="P40" s="55"/>
      <c r="Q40" s="55"/>
      <c r="R40" s="56" t="s">
        <v>15</v>
      </c>
      <c r="S40" s="56"/>
      <c r="T40" s="32" t="s">
        <v>13</v>
      </c>
      <c r="U40" s="33"/>
    </row>
    <row r="41" spans="1:21" x14ac:dyDescent="0.25">
      <c r="A41" s="34"/>
      <c r="B41" s="25"/>
      <c r="C41" s="26" t="s">
        <v>138</v>
      </c>
      <c r="D41" s="25"/>
      <c r="E41" s="52" t="s">
        <v>53</v>
      </c>
      <c r="F41" s="53" t="s">
        <v>101</v>
      </c>
      <c r="G41" s="53" t="s">
        <v>62</v>
      </c>
      <c r="H41" s="53">
        <v>46084</v>
      </c>
      <c r="I41" s="53"/>
      <c r="J41" s="54"/>
      <c r="K41" s="54">
        <v>1.208</v>
      </c>
      <c r="L41" s="54"/>
      <c r="M41" s="32"/>
      <c r="N41" s="55"/>
      <c r="O41" s="55"/>
      <c r="P41" s="55"/>
      <c r="Q41" s="55"/>
      <c r="R41" s="56" t="s">
        <v>33</v>
      </c>
      <c r="S41" s="56"/>
      <c r="T41" s="32" t="s">
        <v>13</v>
      </c>
      <c r="U41" s="33"/>
    </row>
    <row r="42" spans="1:21" x14ac:dyDescent="0.25">
      <c r="A42" s="34"/>
      <c r="B42" s="25"/>
      <c r="C42" s="26" t="s">
        <v>138</v>
      </c>
      <c r="D42" s="25"/>
      <c r="E42" s="52" t="s">
        <v>139</v>
      </c>
      <c r="F42" s="53" t="s">
        <v>101</v>
      </c>
      <c r="G42" s="53" t="s">
        <v>62</v>
      </c>
      <c r="H42" s="53">
        <v>46268</v>
      </c>
      <c r="I42" s="53"/>
      <c r="J42" s="54"/>
      <c r="K42" s="54">
        <v>15.747</v>
      </c>
      <c r="L42" s="54"/>
      <c r="M42" s="32"/>
      <c r="N42" s="55"/>
      <c r="O42" s="55"/>
      <c r="P42" s="55"/>
      <c r="Q42" s="55"/>
      <c r="R42" s="56" t="s">
        <v>28</v>
      </c>
      <c r="S42" s="56"/>
      <c r="T42" s="32" t="s">
        <v>13</v>
      </c>
      <c r="U42" s="33"/>
    </row>
    <row r="43" spans="1:21" x14ac:dyDescent="0.25">
      <c r="A43" s="34"/>
      <c r="B43" s="25"/>
      <c r="C43" s="26" t="s">
        <v>138</v>
      </c>
      <c r="D43" s="25"/>
      <c r="E43" s="52" t="s">
        <v>140</v>
      </c>
      <c r="F43" s="53" t="s">
        <v>101</v>
      </c>
      <c r="G43" s="53" t="s">
        <v>62</v>
      </c>
      <c r="H43" s="53" t="s">
        <v>141</v>
      </c>
      <c r="I43" s="53"/>
      <c r="J43" s="54"/>
      <c r="K43" s="54">
        <v>2.9039999999999999</v>
      </c>
      <c r="L43" s="54"/>
      <c r="M43" s="32"/>
      <c r="N43" s="55"/>
      <c r="O43" s="55"/>
      <c r="P43" s="55"/>
      <c r="Q43" s="55"/>
      <c r="R43" s="56" t="s">
        <v>33</v>
      </c>
      <c r="S43" s="56"/>
      <c r="T43" s="32" t="s">
        <v>125</v>
      </c>
      <c r="U43" s="33"/>
    </row>
    <row r="44" spans="1:21" x14ac:dyDescent="0.25">
      <c r="A44" s="34"/>
      <c r="B44" s="26"/>
      <c r="C44" s="26" t="s">
        <v>138</v>
      </c>
      <c r="D44" s="25"/>
      <c r="E44" s="52" t="s">
        <v>502</v>
      </c>
      <c r="F44" s="53">
        <v>46197</v>
      </c>
      <c r="G44" s="53" t="s">
        <v>62</v>
      </c>
      <c r="H44" s="53">
        <v>46199</v>
      </c>
      <c r="I44" s="53"/>
      <c r="J44" s="54"/>
      <c r="K44" s="54">
        <v>0.61899999999999999</v>
      </c>
      <c r="L44" s="54"/>
      <c r="M44" s="32"/>
      <c r="N44" s="55"/>
      <c r="O44" s="55"/>
      <c r="P44" s="55"/>
      <c r="Q44" s="55"/>
      <c r="R44" s="56" t="s">
        <v>33</v>
      </c>
      <c r="S44" s="56"/>
      <c r="T44" s="32" t="s">
        <v>508</v>
      </c>
      <c r="U44" s="33"/>
    </row>
    <row r="45" spans="1:21" x14ac:dyDescent="0.25">
      <c r="A45" s="57"/>
      <c r="B45" s="58"/>
      <c r="C45" s="59"/>
      <c r="D45" s="60"/>
      <c r="E45" s="60"/>
      <c r="F45" s="61"/>
      <c r="G45" s="62"/>
      <c r="H45" s="61"/>
      <c r="I45" s="63"/>
      <c r="J45" s="64"/>
      <c r="K45" s="64"/>
      <c r="L45" s="64"/>
      <c r="M45" s="64"/>
      <c r="N45" s="64"/>
      <c r="O45" s="64"/>
      <c r="P45" s="64"/>
      <c r="Q45" s="64"/>
      <c r="R45" s="65"/>
      <c r="S45" s="65"/>
      <c r="T45" s="64"/>
      <c r="U45" s="66"/>
    </row>
    <row r="46" spans="1:21" x14ac:dyDescent="0.25">
      <c r="A46" s="34">
        <v>8</v>
      </c>
      <c r="B46" s="25"/>
      <c r="C46" s="26" t="s">
        <v>283</v>
      </c>
      <c r="D46" s="25" t="s">
        <v>86</v>
      </c>
      <c r="E46" s="52" t="s">
        <v>152</v>
      </c>
      <c r="F46" s="53" t="s">
        <v>99</v>
      </c>
      <c r="G46" s="53" t="s">
        <v>62</v>
      </c>
      <c r="H46" s="53" t="s">
        <v>119</v>
      </c>
      <c r="I46" s="53"/>
      <c r="J46" s="54"/>
      <c r="K46" s="54">
        <v>0.76400000000000001</v>
      </c>
      <c r="L46" s="54"/>
      <c r="M46" s="32"/>
      <c r="N46" s="55"/>
      <c r="O46" s="55"/>
      <c r="P46" s="55"/>
      <c r="Q46" s="55"/>
      <c r="R46" s="56" t="s">
        <v>15</v>
      </c>
      <c r="S46" s="56"/>
      <c r="T46" s="32" t="s">
        <v>51</v>
      </c>
      <c r="U46" s="33"/>
    </row>
    <row r="47" spans="1:21" x14ac:dyDescent="0.25">
      <c r="A47" s="34"/>
      <c r="B47" s="25"/>
      <c r="C47" s="26" t="s">
        <v>283</v>
      </c>
      <c r="D47" s="25"/>
      <c r="E47" s="52" t="s">
        <v>158</v>
      </c>
      <c r="F47" s="53" t="s">
        <v>99</v>
      </c>
      <c r="G47" s="53" t="s">
        <v>62</v>
      </c>
      <c r="H47" s="53" t="s">
        <v>119</v>
      </c>
      <c r="I47" s="53"/>
      <c r="J47" s="54"/>
      <c r="K47" s="54">
        <v>1.8180000000000001</v>
      </c>
      <c r="L47" s="54"/>
      <c r="M47" s="32"/>
      <c r="N47" s="55"/>
      <c r="O47" s="55"/>
      <c r="P47" s="55"/>
      <c r="Q47" s="55"/>
      <c r="R47" s="56" t="s">
        <v>15</v>
      </c>
      <c r="S47" s="56"/>
      <c r="T47" s="32" t="s">
        <v>51</v>
      </c>
      <c r="U47" s="33"/>
    </row>
    <row r="48" spans="1:21" x14ac:dyDescent="0.25">
      <c r="A48" s="57"/>
      <c r="B48" s="58"/>
      <c r="C48" s="59"/>
      <c r="D48" s="60"/>
      <c r="E48" s="60"/>
      <c r="F48" s="61"/>
      <c r="G48" s="62"/>
      <c r="H48" s="61"/>
      <c r="I48" s="63"/>
      <c r="J48" s="64"/>
      <c r="K48" s="64"/>
      <c r="L48" s="64"/>
      <c r="M48" s="64"/>
      <c r="N48" s="64"/>
      <c r="O48" s="64"/>
      <c r="P48" s="64"/>
      <c r="Q48" s="64"/>
      <c r="R48" s="65"/>
      <c r="S48" s="65"/>
      <c r="T48" s="64"/>
      <c r="U48" s="66"/>
    </row>
    <row r="49" spans="1:21" x14ac:dyDescent="0.25">
      <c r="A49" s="34">
        <v>9</v>
      </c>
      <c r="B49" s="25"/>
      <c r="C49" s="26" t="s">
        <v>88</v>
      </c>
      <c r="D49" s="25" t="s">
        <v>86</v>
      </c>
      <c r="E49" s="52" t="s">
        <v>185</v>
      </c>
      <c r="F49" s="53" t="s">
        <v>89</v>
      </c>
      <c r="G49" s="53" t="s">
        <v>62</v>
      </c>
      <c r="H49" s="53">
        <v>46114</v>
      </c>
      <c r="I49" s="53"/>
      <c r="J49" s="54"/>
      <c r="K49" s="54">
        <v>5.907</v>
      </c>
      <c r="L49" s="54"/>
      <c r="M49" s="32"/>
      <c r="N49" s="55"/>
      <c r="O49" s="55"/>
      <c r="P49" s="55"/>
      <c r="Q49" s="55"/>
      <c r="R49" s="56" t="s">
        <v>31</v>
      </c>
      <c r="S49" s="56"/>
      <c r="T49" s="32" t="s">
        <v>13</v>
      </c>
      <c r="U49" s="33"/>
    </row>
    <row r="50" spans="1:21" x14ac:dyDescent="0.25">
      <c r="A50" s="34"/>
      <c r="B50" s="25"/>
      <c r="C50" s="26" t="s">
        <v>580</v>
      </c>
      <c r="D50" s="25"/>
      <c r="E50" s="52" t="s">
        <v>186</v>
      </c>
      <c r="F50" s="53" t="s">
        <v>89</v>
      </c>
      <c r="G50" s="53" t="s">
        <v>62</v>
      </c>
      <c r="H50" s="53" t="s">
        <v>187</v>
      </c>
      <c r="I50" s="53"/>
      <c r="J50" s="54"/>
      <c r="K50" s="54">
        <v>1.335</v>
      </c>
      <c r="L50" s="54"/>
      <c r="M50" s="32"/>
      <c r="N50" s="55"/>
      <c r="O50" s="55"/>
      <c r="P50" s="55"/>
      <c r="Q50" s="55"/>
      <c r="R50" s="56" t="s">
        <v>31</v>
      </c>
      <c r="S50" s="56"/>
      <c r="T50" s="32" t="s">
        <v>13</v>
      </c>
      <c r="U50" s="33"/>
    </row>
    <row r="51" spans="1:21" x14ac:dyDescent="0.25">
      <c r="A51" s="34"/>
      <c r="B51" s="25"/>
      <c r="C51" s="26" t="s">
        <v>581</v>
      </c>
      <c r="D51" s="25"/>
      <c r="E51" s="52" t="s">
        <v>139</v>
      </c>
      <c r="F51" s="53" t="s">
        <v>89</v>
      </c>
      <c r="G51" s="53" t="s">
        <v>62</v>
      </c>
      <c r="H51" s="53">
        <v>46115</v>
      </c>
      <c r="I51" s="53"/>
      <c r="J51" s="54"/>
      <c r="K51" s="54">
        <v>27.934999999999999</v>
      </c>
      <c r="L51" s="54"/>
      <c r="M51" s="32"/>
      <c r="N51" s="55"/>
      <c r="O51" s="55"/>
      <c r="P51" s="55"/>
      <c r="Q51" s="55"/>
      <c r="R51" s="56" t="s">
        <v>31</v>
      </c>
      <c r="S51" s="56"/>
      <c r="T51" s="32" t="s">
        <v>13</v>
      </c>
      <c r="U51" s="33"/>
    </row>
    <row r="52" spans="1:21" x14ac:dyDescent="0.25">
      <c r="A52" s="34"/>
      <c r="B52" s="25"/>
      <c r="C52" s="26" t="s">
        <v>582</v>
      </c>
      <c r="D52" s="25"/>
      <c r="E52" s="52" t="s">
        <v>173</v>
      </c>
      <c r="F52" s="53" t="s">
        <v>89</v>
      </c>
      <c r="G52" s="53" t="s">
        <v>62</v>
      </c>
      <c r="H52" s="53">
        <v>46176</v>
      </c>
      <c r="I52" s="53"/>
      <c r="J52" s="54"/>
      <c r="K52" s="54">
        <v>2.141</v>
      </c>
      <c r="L52" s="54"/>
      <c r="M52" s="32"/>
      <c r="N52" s="55"/>
      <c r="O52" s="55"/>
      <c r="P52" s="55"/>
      <c r="Q52" s="55"/>
      <c r="R52" s="56" t="s">
        <v>31</v>
      </c>
      <c r="S52" s="56"/>
      <c r="T52" s="32" t="s">
        <v>13</v>
      </c>
      <c r="U52" s="33"/>
    </row>
    <row r="53" spans="1:21" x14ac:dyDescent="0.25">
      <c r="A53" s="57"/>
      <c r="B53" s="58"/>
      <c r="C53" s="59"/>
      <c r="D53" s="60"/>
      <c r="E53" s="60"/>
      <c r="F53" s="61"/>
      <c r="G53" s="62"/>
      <c r="H53" s="61"/>
      <c r="I53" s="63"/>
      <c r="J53" s="64"/>
      <c r="K53" s="64"/>
      <c r="L53" s="64"/>
      <c r="M53" s="64"/>
      <c r="N53" s="64"/>
      <c r="O53" s="64"/>
      <c r="P53" s="64"/>
      <c r="Q53" s="64"/>
      <c r="R53" s="65"/>
      <c r="S53" s="65"/>
      <c r="T53" s="64"/>
      <c r="U53" s="66"/>
    </row>
    <row r="54" spans="1:21" x14ac:dyDescent="0.25">
      <c r="A54" s="34">
        <v>10</v>
      </c>
      <c r="B54" s="25"/>
      <c r="C54" s="26" t="s">
        <v>97</v>
      </c>
      <c r="D54" s="25" t="s">
        <v>86</v>
      </c>
      <c r="E54" s="52" t="s">
        <v>107</v>
      </c>
      <c r="F54" s="53" t="s">
        <v>98</v>
      </c>
      <c r="G54" s="53" t="s">
        <v>62</v>
      </c>
      <c r="H54" s="53">
        <v>46144</v>
      </c>
      <c r="I54" s="53"/>
      <c r="J54" s="54"/>
      <c r="K54" s="54">
        <v>0.25600000000000001</v>
      </c>
      <c r="L54" s="54"/>
      <c r="M54" s="32"/>
      <c r="N54" s="55"/>
      <c r="O54" s="55"/>
      <c r="P54" s="55"/>
      <c r="Q54" s="55"/>
      <c r="R54" s="56" t="s">
        <v>111</v>
      </c>
      <c r="S54" s="56"/>
      <c r="T54" s="32" t="s">
        <v>13</v>
      </c>
      <c r="U54" s="33"/>
    </row>
    <row r="55" spans="1:21" x14ac:dyDescent="0.25">
      <c r="A55" s="34"/>
      <c r="B55" s="25"/>
      <c r="C55" s="26" t="s">
        <v>97</v>
      </c>
      <c r="D55" s="25"/>
      <c r="E55" s="52" t="s">
        <v>150</v>
      </c>
      <c r="F55" s="53" t="s">
        <v>98</v>
      </c>
      <c r="G55" s="53" t="s">
        <v>62</v>
      </c>
      <c r="H55" s="53">
        <v>46056</v>
      </c>
      <c r="I55" s="53"/>
      <c r="J55" s="54"/>
      <c r="K55" s="54">
        <v>0.83399999999999996</v>
      </c>
      <c r="L55" s="54"/>
      <c r="M55" s="32"/>
      <c r="N55" s="55"/>
      <c r="O55" s="55"/>
      <c r="P55" s="55"/>
      <c r="Q55" s="55"/>
      <c r="R55" s="56" t="s">
        <v>111</v>
      </c>
      <c r="S55" s="56"/>
      <c r="T55" s="32" t="s">
        <v>13</v>
      </c>
      <c r="U55" s="33"/>
    </row>
    <row r="56" spans="1:21" x14ac:dyDescent="0.25">
      <c r="A56" s="57"/>
      <c r="B56" s="58"/>
      <c r="C56" s="59"/>
      <c r="D56" s="60"/>
      <c r="E56" s="60"/>
      <c r="F56" s="61"/>
      <c r="G56" s="62"/>
      <c r="H56" s="61"/>
      <c r="I56" s="63"/>
      <c r="J56" s="64"/>
      <c r="K56" s="64"/>
      <c r="L56" s="64"/>
      <c r="M56" s="64"/>
      <c r="N56" s="64"/>
      <c r="O56" s="64"/>
      <c r="P56" s="64"/>
      <c r="Q56" s="64"/>
      <c r="R56" s="65"/>
      <c r="S56" s="65"/>
      <c r="T56" s="64"/>
      <c r="U56" s="66"/>
    </row>
    <row r="57" spans="1:21" x14ac:dyDescent="0.25">
      <c r="A57" s="34">
        <v>11</v>
      </c>
      <c r="B57" s="25"/>
      <c r="C57" s="26" t="s">
        <v>60</v>
      </c>
      <c r="D57" s="25" t="s">
        <v>86</v>
      </c>
      <c r="E57" s="52" t="s">
        <v>107</v>
      </c>
      <c r="F57" s="53">
        <v>46114</v>
      </c>
      <c r="G57" s="53" t="s">
        <v>62</v>
      </c>
      <c r="H57" s="53" t="s">
        <v>142</v>
      </c>
      <c r="I57" s="53"/>
      <c r="J57" s="54"/>
      <c r="K57" s="54">
        <v>11.285</v>
      </c>
      <c r="L57" s="54"/>
      <c r="M57" s="32"/>
      <c r="N57" s="55"/>
      <c r="O57" s="55"/>
      <c r="P57" s="55"/>
      <c r="Q57" s="55"/>
      <c r="R57" s="56" t="s">
        <v>33</v>
      </c>
      <c r="S57" s="56"/>
      <c r="T57" s="32" t="s">
        <v>51</v>
      </c>
      <c r="U57" s="33"/>
    </row>
    <row r="58" spans="1:21" x14ac:dyDescent="0.25">
      <c r="A58" s="34"/>
      <c r="B58" s="25"/>
      <c r="C58" s="26" t="s">
        <v>60</v>
      </c>
      <c r="D58" s="25"/>
      <c r="E58" s="52" t="s">
        <v>158</v>
      </c>
      <c r="F58" s="53">
        <v>46114</v>
      </c>
      <c r="G58" s="53" t="s">
        <v>62</v>
      </c>
      <c r="H58" s="53" t="s">
        <v>147</v>
      </c>
      <c r="I58" s="53"/>
      <c r="J58" s="54"/>
      <c r="K58" s="54">
        <v>6.3639999999999999</v>
      </c>
      <c r="L58" s="54"/>
      <c r="M58" s="32"/>
      <c r="N58" s="55"/>
      <c r="O58" s="55"/>
      <c r="P58" s="55"/>
      <c r="Q58" s="55"/>
      <c r="R58" s="56" t="s">
        <v>33</v>
      </c>
      <c r="S58" s="56"/>
      <c r="T58" s="32" t="s">
        <v>51</v>
      </c>
      <c r="U58" s="33"/>
    </row>
    <row r="59" spans="1:21" x14ac:dyDescent="0.25">
      <c r="A59" s="57"/>
      <c r="B59" s="58"/>
      <c r="C59" s="68"/>
      <c r="D59" s="60"/>
      <c r="E59" s="60"/>
      <c r="F59" s="61"/>
      <c r="G59" s="62"/>
      <c r="H59" s="61"/>
      <c r="I59" s="63"/>
      <c r="J59" s="64"/>
      <c r="K59" s="64"/>
      <c r="L59" s="64"/>
      <c r="M59" s="64"/>
      <c r="N59" s="69"/>
      <c r="O59" s="69"/>
      <c r="P59" s="69"/>
      <c r="Q59" s="69"/>
      <c r="R59" s="70"/>
      <c r="S59" s="70"/>
      <c r="T59" s="64"/>
      <c r="U59" s="66"/>
    </row>
    <row r="60" spans="1:21" x14ac:dyDescent="0.25">
      <c r="A60" s="34">
        <v>12</v>
      </c>
      <c r="B60" s="25"/>
      <c r="C60" s="26" t="s">
        <v>38</v>
      </c>
      <c r="D60" s="25" t="s">
        <v>86</v>
      </c>
      <c r="E60" s="52" t="s">
        <v>163</v>
      </c>
      <c r="F60" s="53">
        <v>46114</v>
      </c>
      <c r="G60" s="53" t="s">
        <v>62</v>
      </c>
      <c r="H60" s="53" t="s">
        <v>160</v>
      </c>
      <c r="I60" s="53"/>
      <c r="J60" s="54"/>
      <c r="K60" s="54">
        <v>13.887</v>
      </c>
      <c r="L60" s="54"/>
      <c r="M60" s="32"/>
      <c r="N60" s="55"/>
      <c r="O60" s="55"/>
      <c r="P60" s="55"/>
      <c r="Q60" s="55"/>
      <c r="R60" s="56" t="s">
        <v>124</v>
      </c>
      <c r="S60" s="56"/>
      <c r="T60" s="32" t="s">
        <v>51</v>
      </c>
      <c r="U60" s="33"/>
    </row>
    <row r="61" spans="1:21" x14ac:dyDescent="0.25">
      <c r="A61" s="34"/>
      <c r="B61" s="25"/>
      <c r="C61" s="26" t="s">
        <v>583</v>
      </c>
      <c r="D61" s="25"/>
      <c r="E61" s="52" t="s">
        <v>162</v>
      </c>
      <c r="F61" s="53">
        <v>46114</v>
      </c>
      <c r="G61" s="53" t="s">
        <v>62</v>
      </c>
      <c r="H61" s="53" t="s">
        <v>90</v>
      </c>
      <c r="I61" s="53"/>
      <c r="J61" s="54"/>
      <c r="K61" s="54">
        <v>5.577</v>
      </c>
      <c r="L61" s="54"/>
      <c r="M61" s="32"/>
      <c r="N61" s="55"/>
      <c r="O61" s="55"/>
      <c r="P61" s="55"/>
      <c r="Q61" s="55"/>
      <c r="R61" s="56" t="s">
        <v>124</v>
      </c>
      <c r="S61" s="56"/>
      <c r="T61" s="32" t="s">
        <v>51</v>
      </c>
      <c r="U61" s="33"/>
    </row>
    <row r="62" spans="1:21" x14ac:dyDescent="0.25">
      <c r="A62" s="34"/>
      <c r="B62" s="25"/>
      <c r="C62" s="26" t="s">
        <v>584</v>
      </c>
      <c r="D62" s="25"/>
      <c r="E62" s="52" t="s">
        <v>161</v>
      </c>
      <c r="F62" s="53">
        <v>46114</v>
      </c>
      <c r="G62" s="53" t="s">
        <v>62</v>
      </c>
      <c r="H62" s="53">
        <v>46359</v>
      </c>
      <c r="I62" s="53"/>
      <c r="J62" s="54"/>
      <c r="K62" s="54">
        <v>22.202000000000002</v>
      </c>
      <c r="L62" s="54"/>
      <c r="M62" s="32"/>
      <c r="N62" s="55"/>
      <c r="O62" s="55"/>
      <c r="P62" s="55"/>
      <c r="Q62" s="55"/>
      <c r="R62" s="56" t="s">
        <v>124</v>
      </c>
      <c r="S62" s="56"/>
      <c r="T62" s="32" t="s">
        <v>13</v>
      </c>
      <c r="U62" s="33"/>
    </row>
    <row r="63" spans="1:21" x14ac:dyDescent="0.25">
      <c r="A63" s="34"/>
      <c r="B63" s="25"/>
      <c r="C63" s="26" t="s">
        <v>585</v>
      </c>
      <c r="D63" s="25"/>
      <c r="E63" s="52" t="s">
        <v>164</v>
      </c>
      <c r="F63" s="53">
        <v>46114</v>
      </c>
      <c r="G63" s="53" t="s">
        <v>62</v>
      </c>
      <c r="H63" s="53" t="s">
        <v>159</v>
      </c>
      <c r="I63" s="53"/>
      <c r="J63" s="54"/>
      <c r="K63" s="54">
        <v>4.1589999999999998</v>
      </c>
      <c r="L63" s="54"/>
      <c r="M63" s="32"/>
      <c r="N63" s="55"/>
      <c r="O63" s="55"/>
      <c r="P63" s="55"/>
      <c r="Q63" s="55"/>
      <c r="R63" s="56" t="s">
        <v>124</v>
      </c>
      <c r="S63" s="56"/>
      <c r="T63" s="32" t="s">
        <v>13</v>
      </c>
      <c r="U63" s="33"/>
    </row>
    <row r="64" spans="1:21" x14ac:dyDescent="0.25">
      <c r="A64" s="34"/>
      <c r="B64" s="25"/>
      <c r="C64" s="26" t="s">
        <v>586</v>
      </c>
      <c r="D64" s="25"/>
      <c r="E64" s="52" t="s">
        <v>169</v>
      </c>
      <c r="F64" s="53">
        <v>46114</v>
      </c>
      <c r="G64" s="53" t="s">
        <v>62</v>
      </c>
      <c r="H64" s="53" t="s">
        <v>165</v>
      </c>
      <c r="I64" s="53"/>
      <c r="J64" s="54"/>
      <c r="K64" s="54">
        <v>10.827999999999999</v>
      </c>
      <c r="L64" s="54"/>
      <c r="M64" s="32"/>
      <c r="N64" s="55"/>
      <c r="O64" s="55"/>
      <c r="P64" s="55"/>
      <c r="Q64" s="55"/>
      <c r="R64" s="56" t="s">
        <v>124</v>
      </c>
      <c r="S64" s="56"/>
      <c r="T64" s="32" t="s">
        <v>13</v>
      </c>
      <c r="U64" s="33"/>
    </row>
    <row r="65" spans="1:21" x14ac:dyDescent="0.25">
      <c r="A65" s="34"/>
      <c r="B65" s="26"/>
      <c r="C65" s="26" t="s">
        <v>587</v>
      </c>
      <c r="D65" s="25"/>
      <c r="E65" s="52" t="s">
        <v>168</v>
      </c>
      <c r="F65" s="53">
        <v>46114</v>
      </c>
      <c r="G65" s="53" t="s">
        <v>62</v>
      </c>
      <c r="H65" s="53" t="s">
        <v>167</v>
      </c>
      <c r="I65" s="53"/>
      <c r="J65" s="54"/>
      <c r="K65" s="54">
        <v>1.7090000000000001</v>
      </c>
      <c r="L65" s="54"/>
      <c r="M65" s="32"/>
      <c r="N65" s="55"/>
      <c r="O65" s="55"/>
      <c r="P65" s="55"/>
      <c r="Q65" s="55"/>
      <c r="R65" s="56" t="s">
        <v>124</v>
      </c>
      <c r="S65" s="56"/>
      <c r="T65" s="32" t="s">
        <v>13</v>
      </c>
      <c r="U65" s="33"/>
    </row>
    <row r="66" spans="1:21" x14ac:dyDescent="0.25">
      <c r="A66" s="34"/>
      <c r="B66" s="26"/>
      <c r="C66" s="26" t="s">
        <v>588</v>
      </c>
      <c r="D66" s="25"/>
      <c r="E66" s="52" t="s">
        <v>166</v>
      </c>
      <c r="F66" s="53">
        <v>46114</v>
      </c>
      <c r="G66" s="53" t="s">
        <v>62</v>
      </c>
      <c r="H66" s="53" t="s">
        <v>167</v>
      </c>
      <c r="I66" s="53"/>
      <c r="J66" s="54"/>
      <c r="K66" s="54">
        <v>1.544</v>
      </c>
      <c r="L66" s="54"/>
      <c r="M66" s="32"/>
      <c r="N66" s="55"/>
      <c r="O66" s="55"/>
      <c r="P66" s="55"/>
      <c r="Q66" s="55"/>
      <c r="R66" s="56" t="s">
        <v>124</v>
      </c>
      <c r="S66" s="56"/>
      <c r="T66" s="32" t="s">
        <v>13</v>
      </c>
      <c r="U66" s="33"/>
    </row>
    <row r="67" spans="1:21" x14ac:dyDescent="0.25">
      <c r="A67" s="57"/>
      <c r="B67" s="58"/>
      <c r="C67" s="68"/>
      <c r="D67" s="60"/>
      <c r="E67" s="60"/>
      <c r="F67" s="61"/>
      <c r="G67" s="62"/>
      <c r="H67" s="61"/>
      <c r="I67" s="63"/>
      <c r="J67" s="64"/>
      <c r="K67" s="64"/>
      <c r="L67" s="64"/>
      <c r="M67" s="64"/>
      <c r="N67" s="69"/>
      <c r="O67" s="69"/>
      <c r="P67" s="69"/>
      <c r="Q67" s="69"/>
      <c r="R67" s="70"/>
      <c r="S67" s="70"/>
      <c r="T67" s="64"/>
      <c r="U67" s="66"/>
    </row>
    <row r="68" spans="1:21" x14ac:dyDescent="0.25">
      <c r="A68" s="34">
        <v>13</v>
      </c>
      <c r="B68" s="25"/>
      <c r="C68" s="26" t="s">
        <v>151</v>
      </c>
      <c r="D68" s="25" t="s">
        <v>86</v>
      </c>
      <c r="E68" s="52" t="s">
        <v>152</v>
      </c>
      <c r="F68" s="53">
        <v>46297</v>
      </c>
      <c r="G68" s="53" t="s">
        <v>62</v>
      </c>
      <c r="H68" s="53" t="s">
        <v>91</v>
      </c>
      <c r="I68" s="53"/>
      <c r="J68" s="54"/>
      <c r="K68" s="54">
        <v>12.305999999999999</v>
      </c>
      <c r="L68" s="54"/>
      <c r="M68" s="32"/>
      <c r="N68" s="55"/>
      <c r="O68" s="55"/>
      <c r="P68" s="55"/>
      <c r="Q68" s="55"/>
      <c r="R68" s="56" t="s">
        <v>153</v>
      </c>
      <c r="S68" s="56"/>
      <c r="T68" s="32"/>
      <c r="U68" s="33"/>
    </row>
    <row r="69" spans="1:21" x14ac:dyDescent="0.25">
      <c r="A69" s="34"/>
      <c r="B69" s="25"/>
      <c r="C69" s="26" t="s">
        <v>589</v>
      </c>
      <c r="D69" s="25"/>
      <c r="E69" s="52" t="s">
        <v>154</v>
      </c>
      <c r="F69" s="53">
        <v>46297</v>
      </c>
      <c r="G69" s="53" t="s">
        <v>62</v>
      </c>
      <c r="H69" s="53" t="s">
        <v>155</v>
      </c>
      <c r="I69" s="53"/>
      <c r="J69" s="54"/>
      <c r="K69" s="54">
        <v>6.1680000000000001</v>
      </c>
      <c r="L69" s="54"/>
      <c r="M69" s="32"/>
      <c r="N69" s="55"/>
      <c r="O69" s="55"/>
      <c r="P69" s="55"/>
      <c r="Q69" s="55"/>
      <c r="R69" s="56" t="s">
        <v>148</v>
      </c>
      <c r="S69" s="56"/>
      <c r="T69" s="32" t="s">
        <v>13</v>
      </c>
      <c r="U69" s="33"/>
    </row>
    <row r="70" spans="1:21" x14ac:dyDescent="0.25">
      <c r="A70" s="57"/>
      <c r="B70" s="58"/>
      <c r="C70" s="68"/>
      <c r="D70" s="60"/>
      <c r="E70" s="60"/>
      <c r="F70" s="61"/>
      <c r="G70" s="62"/>
      <c r="H70" s="61"/>
      <c r="I70" s="63"/>
      <c r="J70" s="64"/>
      <c r="K70" s="64"/>
      <c r="L70" s="64"/>
      <c r="M70" s="64"/>
      <c r="N70" s="69"/>
      <c r="O70" s="69"/>
      <c r="P70" s="69"/>
      <c r="Q70" s="69"/>
      <c r="R70" s="70"/>
      <c r="S70" s="70"/>
      <c r="T70" s="64"/>
      <c r="U70" s="66"/>
    </row>
    <row r="71" spans="1:21" x14ac:dyDescent="0.25">
      <c r="A71" s="34">
        <v>14</v>
      </c>
      <c r="B71" s="25"/>
      <c r="C71" s="26" t="s">
        <v>179</v>
      </c>
      <c r="D71" s="25" t="s">
        <v>86</v>
      </c>
      <c r="E71" s="52" t="s">
        <v>107</v>
      </c>
      <c r="F71" s="53">
        <v>46144</v>
      </c>
      <c r="G71" s="53" t="s">
        <v>62</v>
      </c>
      <c r="H71" s="53" t="s">
        <v>160</v>
      </c>
      <c r="I71" s="53"/>
      <c r="J71" s="54"/>
      <c r="K71" s="54">
        <v>3.9910000000000001</v>
      </c>
      <c r="L71" s="54"/>
      <c r="M71" s="32"/>
      <c r="N71" s="55"/>
      <c r="O71" s="55"/>
      <c r="P71" s="55"/>
      <c r="Q71" s="55"/>
      <c r="R71" s="56" t="s">
        <v>181</v>
      </c>
      <c r="S71" s="56"/>
      <c r="T71" s="32" t="s">
        <v>137</v>
      </c>
      <c r="U71" s="33"/>
    </row>
    <row r="72" spans="1:21" x14ac:dyDescent="0.25">
      <c r="A72" s="34"/>
      <c r="B72" s="25"/>
      <c r="C72" s="26" t="s">
        <v>590</v>
      </c>
      <c r="D72" s="25"/>
      <c r="E72" s="52" t="s">
        <v>139</v>
      </c>
      <c r="F72" s="53">
        <v>46144</v>
      </c>
      <c r="G72" s="53" t="s">
        <v>62</v>
      </c>
      <c r="H72" s="53" t="s">
        <v>180</v>
      </c>
      <c r="I72" s="53"/>
      <c r="J72" s="54"/>
      <c r="K72" s="54">
        <v>9.3089999999999993</v>
      </c>
      <c r="L72" s="54"/>
      <c r="M72" s="32"/>
      <c r="N72" s="55"/>
      <c r="O72" s="55"/>
      <c r="P72" s="55"/>
      <c r="Q72" s="55"/>
      <c r="R72" s="56" t="s">
        <v>50</v>
      </c>
      <c r="S72" s="56"/>
      <c r="T72" s="32" t="s">
        <v>125</v>
      </c>
      <c r="U72" s="33"/>
    </row>
    <row r="73" spans="1:21" x14ac:dyDescent="0.25">
      <c r="A73" s="34"/>
      <c r="B73" s="25"/>
      <c r="C73" s="26" t="s">
        <v>591</v>
      </c>
      <c r="D73" s="25"/>
      <c r="E73" s="52" t="s">
        <v>173</v>
      </c>
      <c r="F73" s="53">
        <v>46144</v>
      </c>
      <c r="G73" s="53" t="s">
        <v>62</v>
      </c>
      <c r="H73" s="53" t="s">
        <v>176</v>
      </c>
      <c r="I73" s="53"/>
      <c r="J73" s="54"/>
      <c r="K73" s="54">
        <v>2.7869999999999999</v>
      </c>
      <c r="L73" s="54"/>
      <c r="M73" s="32"/>
      <c r="N73" s="55"/>
      <c r="O73" s="55"/>
      <c r="P73" s="55"/>
      <c r="Q73" s="55"/>
      <c r="R73" s="56" t="s">
        <v>33</v>
      </c>
      <c r="S73" s="56"/>
      <c r="T73" s="32" t="s">
        <v>125</v>
      </c>
      <c r="U73" s="33"/>
    </row>
    <row r="74" spans="1:21" x14ac:dyDescent="0.25">
      <c r="A74" s="57"/>
      <c r="B74" s="58"/>
      <c r="C74" s="68"/>
      <c r="D74" s="60"/>
      <c r="E74" s="60"/>
      <c r="F74" s="61"/>
      <c r="G74" s="62"/>
      <c r="H74" s="61"/>
      <c r="I74" s="63"/>
      <c r="J74" s="64"/>
      <c r="K74" s="64"/>
      <c r="L74" s="64"/>
      <c r="M74" s="64"/>
      <c r="N74" s="69"/>
      <c r="O74" s="69"/>
      <c r="P74" s="69"/>
      <c r="Q74" s="69"/>
      <c r="R74" s="70"/>
      <c r="S74" s="70"/>
      <c r="T74" s="64"/>
      <c r="U74" s="66"/>
    </row>
    <row r="75" spans="1:21" x14ac:dyDescent="0.25">
      <c r="A75" s="34">
        <v>15</v>
      </c>
      <c r="B75" s="25"/>
      <c r="C75" s="26" t="s">
        <v>177</v>
      </c>
      <c r="D75" s="25" t="s">
        <v>86</v>
      </c>
      <c r="E75" s="52" t="s">
        <v>107</v>
      </c>
      <c r="F75" s="53">
        <v>46358</v>
      </c>
      <c r="G75" s="53" t="s">
        <v>62</v>
      </c>
      <c r="H75" s="53" t="s">
        <v>176</v>
      </c>
      <c r="I75" s="53"/>
      <c r="J75" s="54"/>
      <c r="K75" s="54">
        <v>16.785</v>
      </c>
      <c r="L75" s="54"/>
      <c r="M75" s="32"/>
      <c r="N75" s="55"/>
      <c r="O75" s="55"/>
      <c r="P75" s="55"/>
      <c r="Q75" s="53" t="s">
        <v>62</v>
      </c>
      <c r="R75" s="56" t="s">
        <v>32</v>
      </c>
      <c r="S75" s="56"/>
      <c r="T75" s="32" t="s">
        <v>13</v>
      </c>
      <c r="U75" s="33"/>
    </row>
    <row r="76" spans="1:21" x14ac:dyDescent="0.25">
      <c r="A76" s="34"/>
      <c r="B76" s="25"/>
      <c r="C76" s="26" t="s">
        <v>592</v>
      </c>
      <c r="D76" s="25"/>
      <c r="E76" s="52" t="s">
        <v>164</v>
      </c>
      <c r="F76" s="53">
        <v>46358</v>
      </c>
      <c r="G76" s="53" t="s">
        <v>62</v>
      </c>
      <c r="H76" s="53" t="s">
        <v>289</v>
      </c>
      <c r="I76" s="53"/>
      <c r="J76" s="54"/>
      <c r="K76" s="54">
        <v>1.331</v>
      </c>
      <c r="L76" s="54"/>
      <c r="M76" s="32"/>
      <c r="N76" s="55"/>
      <c r="O76" s="55"/>
      <c r="P76" s="53">
        <v>46361</v>
      </c>
      <c r="Q76" s="53" t="s">
        <v>62</v>
      </c>
      <c r="R76" s="56" t="s">
        <v>32</v>
      </c>
      <c r="S76" s="82" t="s">
        <v>255</v>
      </c>
      <c r="T76" s="32" t="s">
        <v>269</v>
      </c>
      <c r="U76" s="33" t="s">
        <v>236</v>
      </c>
    </row>
    <row r="77" spans="1:21" x14ac:dyDescent="0.25">
      <c r="A77" s="34"/>
      <c r="B77" s="25"/>
      <c r="C77" s="26" t="s">
        <v>593</v>
      </c>
      <c r="D77" s="25"/>
      <c r="E77" s="52" t="s">
        <v>309</v>
      </c>
      <c r="F77" s="53">
        <v>46358</v>
      </c>
      <c r="G77" s="53" t="s">
        <v>62</v>
      </c>
      <c r="H77" s="53" t="s">
        <v>289</v>
      </c>
      <c r="I77" s="53"/>
      <c r="J77" s="54"/>
      <c r="K77" s="54">
        <v>3.234</v>
      </c>
      <c r="L77" s="54"/>
      <c r="M77" s="32"/>
      <c r="N77" s="55"/>
      <c r="O77" s="55"/>
      <c r="P77" s="53">
        <v>46361</v>
      </c>
      <c r="Q77" s="53" t="s">
        <v>62</v>
      </c>
      <c r="R77" s="56" t="s">
        <v>32</v>
      </c>
      <c r="S77" s="82" t="s">
        <v>255</v>
      </c>
      <c r="T77" s="32" t="s">
        <v>269</v>
      </c>
      <c r="U77" s="33" t="s">
        <v>236</v>
      </c>
    </row>
    <row r="78" spans="1:21" x14ac:dyDescent="0.25">
      <c r="A78" s="34"/>
      <c r="B78" s="25"/>
      <c r="C78" s="26" t="s">
        <v>594</v>
      </c>
      <c r="D78" s="25"/>
      <c r="E78" s="52" t="s">
        <v>310</v>
      </c>
      <c r="F78" s="53">
        <v>46358</v>
      </c>
      <c r="G78" s="53" t="s">
        <v>62</v>
      </c>
      <c r="H78" s="53" t="s">
        <v>497</v>
      </c>
      <c r="I78" s="53"/>
      <c r="J78" s="54"/>
      <c r="K78" s="54"/>
      <c r="L78" s="54"/>
      <c r="M78" s="32"/>
      <c r="N78" s="55"/>
      <c r="O78" s="55"/>
      <c r="P78" s="53">
        <v>46361</v>
      </c>
      <c r="Q78" s="53" t="s">
        <v>62</v>
      </c>
      <c r="R78" s="56" t="s">
        <v>32</v>
      </c>
      <c r="S78" s="107" t="s">
        <v>244</v>
      </c>
      <c r="T78" s="32" t="s">
        <v>269</v>
      </c>
      <c r="U78" s="33" t="s">
        <v>236</v>
      </c>
    </row>
    <row r="79" spans="1:21" x14ac:dyDescent="0.25">
      <c r="A79" s="57"/>
      <c r="B79" s="58"/>
      <c r="C79" s="59"/>
      <c r="D79" s="60"/>
      <c r="E79" s="60"/>
      <c r="F79" s="61"/>
      <c r="G79" s="62"/>
      <c r="H79" s="61"/>
      <c r="I79" s="63"/>
      <c r="J79" s="64"/>
      <c r="K79" s="64"/>
      <c r="L79" s="64"/>
      <c r="M79" s="64"/>
      <c r="N79" s="64"/>
      <c r="O79" s="64"/>
      <c r="P79" s="64"/>
      <c r="Q79" s="64"/>
      <c r="R79" s="65"/>
      <c r="S79" s="65"/>
      <c r="T79" s="64"/>
      <c r="U79" s="66"/>
    </row>
    <row r="80" spans="1:21" x14ac:dyDescent="0.25">
      <c r="A80" s="34">
        <v>16</v>
      </c>
      <c r="B80" s="25"/>
      <c r="C80" s="26" t="s">
        <v>93</v>
      </c>
      <c r="D80" s="25" t="s">
        <v>86</v>
      </c>
      <c r="E80" s="52" t="s">
        <v>107</v>
      </c>
      <c r="F80" s="53" t="s">
        <v>94</v>
      </c>
      <c r="G80" s="53" t="s">
        <v>62</v>
      </c>
      <c r="H80" s="53">
        <v>46115</v>
      </c>
      <c r="I80" s="53"/>
      <c r="J80" s="54"/>
      <c r="K80" s="54">
        <v>2.3050000000000002</v>
      </c>
      <c r="L80" s="54"/>
      <c r="M80" s="32"/>
      <c r="N80" s="55"/>
      <c r="O80" s="55"/>
      <c r="P80" s="55"/>
      <c r="Q80" s="55"/>
      <c r="R80" s="56" t="s">
        <v>15</v>
      </c>
      <c r="S80" s="107" t="s">
        <v>244</v>
      </c>
      <c r="T80" s="32" t="s">
        <v>269</v>
      </c>
      <c r="U80" s="33"/>
    </row>
    <row r="81" spans="1:21" x14ac:dyDescent="0.25">
      <c r="A81" s="34"/>
      <c r="B81" s="25"/>
      <c r="C81" s="26" t="s">
        <v>93</v>
      </c>
      <c r="D81" s="25"/>
      <c r="E81" s="52" t="s">
        <v>170</v>
      </c>
      <c r="F81" s="53" t="s">
        <v>94</v>
      </c>
      <c r="G81" s="53" t="s">
        <v>62</v>
      </c>
      <c r="H81" s="53">
        <v>46115</v>
      </c>
      <c r="I81" s="53"/>
      <c r="J81" s="54"/>
      <c r="K81" s="54">
        <v>2.0270000000000001</v>
      </c>
      <c r="L81" s="54"/>
      <c r="M81" s="32"/>
      <c r="N81" s="55"/>
      <c r="O81" s="55"/>
      <c r="P81" s="55"/>
      <c r="Q81" s="55"/>
      <c r="R81" s="56" t="s">
        <v>15</v>
      </c>
      <c r="S81" s="107" t="s">
        <v>244</v>
      </c>
      <c r="T81" s="32" t="s">
        <v>269</v>
      </c>
      <c r="U81" s="33"/>
    </row>
    <row r="82" spans="1:21" x14ac:dyDescent="0.25">
      <c r="A82" s="34"/>
      <c r="B82" s="25"/>
      <c r="C82" s="26" t="s">
        <v>93</v>
      </c>
      <c r="D82" s="25"/>
      <c r="E82" s="52" t="s">
        <v>172</v>
      </c>
      <c r="F82" s="53" t="s">
        <v>94</v>
      </c>
      <c r="G82" s="53" t="s">
        <v>62</v>
      </c>
      <c r="H82" s="53">
        <v>46115</v>
      </c>
      <c r="I82" s="53"/>
      <c r="J82" s="54"/>
      <c r="K82" s="54">
        <v>1.242</v>
      </c>
      <c r="L82" s="54"/>
      <c r="M82" s="32"/>
      <c r="N82" s="55"/>
      <c r="O82" s="55"/>
      <c r="P82" s="55"/>
      <c r="Q82" s="55"/>
      <c r="R82" s="56" t="s">
        <v>15</v>
      </c>
      <c r="S82" s="107" t="s">
        <v>244</v>
      </c>
      <c r="T82" s="32" t="s">
        <v>269</v>
      </c>
      <c r="U82" s="33"/>
    </row>
    <row r="83" spans="1:21" x14ac:dyDescent="0.25">
      <c r="A83" s="34"/>
      <c r="B83" s="25"/>
      <c r="C83" s="26" t="s">
        <v>93</v>
      </c>
      <c r="D83" s="25"/>
      <c r="E83" s="52" t="s">
        <v>171</v>
      </c>
      <c r="F83" s="53" t="s">
        <v>94</v>
      </c>
      <c r="G83" s="53" t="s">
        <v>62</v>
      </c>
      <c r="H83" s="53">
        <v>46115</v>
      </c>
      <c r="I83" s="53"/>
      <c r="J83" s="54"/>
      <c r="K83" s="54">
        <v>0.78600000000000003</v>
      </c>
      <c r="L83" s="54"/>
      <c r="M83" s="32"/>
      <c r="N83" s="55"/>
      <c r="O83" s="55"/>
      <c r="P83" s="55"/>
      <c r="Q83" s="55"/>
      <c r="R83" s="56" t="s">
        <v>15</v>
      </c>
      <c r="S83" s="107" t="s">
        <v>244</v>
      </c>
      <c r="T83" s="32" t="s">
        <v>269</v>
      </c>
      <c r="U83" s="33"/>
    </row>
    <row r="84" spans="1:21" x14ac:dyDescent="0.25">
      <c r="A84" s="57"/>
      <c r="B84" s="58"/>
      <c r="C84" s="59"/>
      <c r="D84" s="60"/>
      <c r="E84" s="60"/>
      <c r="F84" s="61"/>
      <c r="G84" s="62"/>
      <c r="H84" s="61"/>
      <c r="I84" s="63"/>
      <c r="J84" s="64"/>
      <c r="K84" s="64"/>
      <c r="L84" s="64"/>
      <c r="M84" s="64"/>
      <c r="N84" s="64"/>
      <c r="O84" s="64"/>
      <c r="P84" s="64"/>
      <c r="Q84" s="64"/>
      <c r="R84" s="65"/>
      <c r="S84" s="65"/>
      <c r="T84" s="64"/>
      <c r="U84" s="66"/>
    </row>
    <row r="85" spans="1:21" x14ac:dyDescent="0.25">
      <c r="A85" s="34">
        <v>17</v>
      </c>
      <c r="B85" s="25"/>
      <c r="C85" s="26" t="s">
        <v>40</v>
      </c>
      <c r="D85" s="25" t="s">
        <v>86</v>
      </c>
      <c r="E85" s="52" t="s">
        <v>152</v>
      </c>
      <c r="F85" s="53" t="s">
        <v>90</v>
      </c>
      <c r="G85" s="53" t="s">
        <v>62</v>
      </c>
      <c r="H85" s="53">
        <v>46084</v>
      </c>
      <c r="I85" s="53"/>
      <c r="J85" s="54"/>
      <c r="K85" s="54" t="s">
        <v>267</v>
      </c>
      <c r="L85" s="54"/>
      <c r="M85" s="32"/>
      <c r="N85" s="55"/>
      <c r="O85" s="55"/>
      <c r="P85" s="55"/>
      <c r="Q85" s="55"/>
      <c r="R85" s="56" t="s">
        <v>50</v>
      </c>
      <c r="S85" s="108"/>
      <c r="T85" s="32" t="s">
        <v>269</v>
      </c>
      <c r="U85" s="33"/>
    </row>
    <row r="86" spans="1:21" x14ac:dyDescent="0.25">
      <c r="A86" s="34"/>
      <c r="B86" s="25"/>
      <c r="C86" s="26" t="s">
        <v>40</v>
      </c>
      <c r="D86" s="25"/>
      <c r="E86" s="52" t="s">
        <v>139</v>
      </c>
      <c r="F86" s="53" t="s">
        <v>90</v>
      </c>
      <c r="G86" s="53" t="s">
        <v>62</v>
      </c>
      <c r="H86" s="53" t="s">
        <v>174</v>
      </c>
      <c r="I86" s="53"/>
      <c r="J86" s="54"/>
      <c r="K86" s="54">
        <v>4.8529999999999998</v>
      </c>
      <c r="L86" s="54"/>
      <c r="M86" s="32"/>
      <c r="N86" s="55"/>
      <c r="O86" s="55"/>
      <c r="P86" s="55"/>
      <c r="Q86" s="55"/>
      <c r="R86" s="56" t="s">
        <v>50</v>
      </c>
      <c r="S86" s="56"/>
      <c r="T86" s="32" t="s">
        <v>125</v>
      </c>
      <c r="U86" s="33"/>
    </row>
    <row r="87" spans="1:21" x14ac:dyDescent="0.25">
      <c r="A87" s="34"/>
      <c r="B87" s="25"/>
      <c r="C87" s="26" t="s">
        <v>40</v>
      </c>
      <c r="D87" s="25"/>
      <c r="E87" s="52" t="s">
        <v>173</v>
      </c>
      <c r="F87" s="53" t="s">
        <v>90</v>
      </c>
      <c r="G87" s="53" t="s">
        <v>62</v>
      </c>
      <c r="H87" s="53">
        <v>46057</v>
      </c>
      <c r="I87" s="53"/>
      <c r="J87" s="54"/>
      <c r="K87" s="54">
        <v>1.2849999999999999</v>
      </c>
      <c r="L87" s="54"/>
      <c r="M87" s="32"/>
      <c r="N87" s="55"/>
      <c r="O87" s="55"/>
      <c r="P87" s="55"/>
      <c r="Q87" s="55"/>
      <c r="R87" s="56" t="s">
        <v>50</v>
      </c>
      <c r="S87" s="56"/>
      <c r="T87" s="32" t="s">
        <v>125</v>
      </c>
      <c r="U87" s="33"/>
    </row>
    <row r="88" spans="1:21" x14ac:dyDescent="0.25">
      <c r="A88" s="57"/>
      <c r="B88" s="58"/>
      <c r="C88" s="68"/>
      <c r="D88" s="60"/>
      <c r="E88" s="60"/>
      <c r="F88" s="61"/>
      <c r="G88" s="62"/>
      <c r="H88" s="61"/>
      <c r="I88" s="63"/>
      <c r="J88" s="64"/>
      <c r="K88" s="64"/>
      <c r="L88" s="64"/>
      <c r="M88" s="64"/>
      <c r="N88" s="69"/>
      <c r="O88" s="69"/>
      <c r="P88" s="69"/>
      <c r="Q88" s="69"/>
      <c r="R88" s="70"/>
      <c r="S88" s="70"/>
      <c r="T88" s="64"/>
      <c r="U88" s="66"/>
    </row>
    <row r="89" spans="1:21" x14ac:dyDescent="0.25">
      <c r="A89" s="34">
        <v>18</v>
      </c>
      <c r="B89" s="25"/>
      <c r="C89" s="26" t="s">
        <v>156</v>
      </c>
      <c r="D89" s="25" t="s">
        <v>86</v>
      </c>
      <c r="E89" s="52" t="s">
        <v>152</v>
      </c>
      <c r="F89" s="53" t="s">
        <v>157</v>
      </c>
      <c r="G89" s="53" t="s">
        <v>62</v>
      </c>
      <c r="H89" s="53">
        <v>46176</v>
      </c>
      <c r="I89" s="53"/>
      <c r="J89" s="54"/>
      <c r="K89" s="54">
        <v>2.5920000000000001</v>
      </c>
      <c r="L89" s="54"/>
      <c r="M89" s="32"/>
      <c r="N89" s="55"/>
      <c r="O89" s="55"/>
      <c r="P89" s="55"/>
      <c r="Q89" s="55"/>
      <c r="R89" s="56" t="s">
        <v>31</v>
      </c>
      <c r="S89" s="56"/>
      <c r="T89" s="32" t="s">
        <v>125</v>
      </c>
      <c r="U89" s="33"/>
    </row>
    <row r="90" spans="1:21" x14ac:dyDescent="0.25">
      <c r="A90" s="34"/>
      <c r="B90" s="25"/>
      <c r="C90" s="26" t="s">
        <v>595</v>
      </c>
      <c r="D90" s="25"/>
      <c r="E90" s="52" t="s">
        <v>158</v>
      </c>
      <c r="F90" s="53" t="s">
        <v>157</v>
      </c>
      <c r="G90" s="53" t="s">
        <v>62</v>
      </c>
      <c r="H90" s="53" t="s">
        <v>159</v>
      </c>
      <c r="I90" s="53"/>
      <c r="J90" s="54"/>
      <c r="K90" s="54">
        <v>4.5620000000000003</v>
      </c>
      <c r="L90" s="54"/>
      <c r="M90" s="32"/>
      <c r="N90" s="55"/>
      <c r="O90" s="55"/>
      <c r="P90" s="55"/>
      <c r="Q90" s="55"/>
      <c r="R90" s="56" t="s">
        <v>31</v>
      </c>
      <c r="S90" s="56"/>
      <c r="T90" s="32" t="s">
        <v>125</v>
      </c>
      <c r="U90" s="33"/>
    </row>
    <row r="91" spans="1:21" x14ac:dyDescent="0.25">
      <c r="A91" s="57"/>
      <c r="B91" s="58"/>
      <c r="C91" s="68"/>
      <c r="D91" s="60"/>
      <c r="E91" s="60"/>
      <c r="F91" s="61"/>
      <c r="G91" s="62"/>
      <c r="H91" s="61"/>
      <c r="I91" s="63"/>
      <c r="J91" s="64"/>
      <c r="K91" s="64"/>
      <c r="L91" s="64"/>
      <c r="M91" s="64"/>
      <c r="N91" s="69"/>
      <c r="O91" s="69"/>
      <c r="P91" s="69"/>
      <c r="Q91" s="69"/>
      <c r="R91" s="70"/>
      <c r="S91" s="70"/>
      <c r="T91" s="64"/>
      <c r="U91" s="66"/>
    </row>
    <row r="92" spans="1:21" x14ac:dyDescent="0.25">
      <c r="A92" s="34">
        <v>19</v>
      </c>
      <c r="B92" s="25"/>
      <c r="C92" s="26" t="s">
        <v>175</v>
      </c>
      <c r="D92" s="25" t="s">
        <v>86</v>
      </c>
      <c r="E92" s="52" t="s">
        <v>107</v>
      </c>
      <c r="F92" s="53" t="s">
        <v>91</v>
      </c>
      <c r="G92" s="53" t="s">
        <v>62</v>
      </c>
      <c r="H92" s="53">
        <v>46206</v>
      </c>
      <c r="I92" s="53"/>
      <c r="J92" s="54"/>
      <c r="K92" s="54">
        <v>5.0620000000000003</v>
      </c>
      <c r="L92" s="54"/>
      <c r="M92" s="32"/>
      <c r="N92" s="55"/>
      <c r="O92" s="55"/>
      <c r="P92" s="55"/>
      <c r="Q92" s="55"/>
      <c r="R92" s="56" t="s">
        <v>17</v>
      </c>
      <c r="S92" s="56"/>
      <c r="T92" s="56" t="s">
        <v>17</v>
      </c>
      <c r="U92" s="33"/>
    </row>
    <row r="93" spans="1:21" x14ac:dyDescent="0.25">
      <c r="A93" s="34"/>
      <c r="B93" s="25"/>
      <c r="C93" s="26" t="s">
        <v>175</v>
      </c>
      <c r="D93" s="25"/>
      <c r="E93" s="52" t="s">
        <v>139</v>
      </c>
      <c r="F93" s="53" t="s">
        <v>91</v>
      </c>
      <c r="G93" s="53" t="s">
        <v>62</v>
      </c>
      <c r="H93" s="53" t="s">
        <v>176</v>
      </c>
      <c r="I93" s="53"/>
      <c r="J93" s="54"/>
      <c r="K93" s="54">
        <v>3.298</v>
      </c>
      <c r="L93" s="54"/>
      <c r="M93" s="32"/>
      <c r="N93" s="55"/>
      <c r="O93" s="55"/>
      <c r="P93" s="55"/>
      <c r="Q93" s="55"/>
      <c r="R93" s="56" t="s">
        <v>31</v>
      </c>
      <c r="S93" s="56"/>
      <c r="T93" s="32" t="s">
        <v>13</v>
      </c>
      <c r="U93" s="33"/>
    </row>
    <row r="94" spans="1:21" x14ac:dyDescent="0.25">
      <c r="A94" s="34"/>
      <c r="B94" s="25"/>
      <c r="C94" s="26" t="s">
        <v>175</v>
      </c>
      <c r="D94" s="25"/>
      <c r="E94" s="52" t="s">
        <v>140</v>
      </c>
      <c r="F94" s="53" t="s">
        <v>91</v>
      </c>
      <c r="G94" s="53" t="s">
        <v>62</v>
      </c>
      <c r="H94" s="53" t="s">
        <v>176</v>
      </c>
      <c r="I94" s="53"/>
      <c r="J94" s="54"/>
      <c r="K94" s="54">
        <v>1.6950000000000001</v>
      </c>
      <c r="L94" s="54"/>
      <c r="M94" s="32"/>
      <c r="N94" s="55"/>
      <c r="O94" s="55"/>
      <c r="P94" s="55"/>
      <c r="Q94" s="55"/>
      <c r="R94" s="56" t="s">
        <v>31</v>
      </c>
      <c r="S94" s="56"/>
      <c r="T94" s="32" t="s">
        <v>13</v>
      </c>
      <c r="U94" s="33"/>
    </row>
    <row r="95" spans="1:21" x14ac:dyDescent="0.25">
      <c r="A95" s="57"/>
      <c r="B95" s="58"/>
      <c r="C95" s="59"/>
      <c r="D95" s="60"/>
      <c r="E95" s="60"/>
      <c r="F95" s="61"/>
      <c r="G95" s="62"/>
      <c r="H95" s="61"/>
      <c r="I95" s="63"/>
      <c r="J95" s="64"/>
      <c r="K95" s="64"/>
      <c r="L95" s="64"/>
      <c r="M95" s="64"/>
      <c r="N95" s="64"/>
      <c r="O95" s="64"/>
      <c r="P95" s="64"/>
      <c r="Q95" s="64"/>
      <c r="R95" s="65"/>
      <c r="S95" s="65"/>
      <c r="T95" s="64"/>
      <c r="U95" s="66"/>
    </row>
    <row r="96" spans="1:21" x14ac:dyDescent="0.25">
      <c r="A96" s="34">
        <v>20</v>
      </c>
      <c r="B96" s="25"/>
      <c r="C96" s="26" t="s">
        <v>39</v>
      </c>
      <c r="D96" s="25" t="s">
        <v>86</v>
      </c>
      <c r="E96" s="52" t="s">
        <v>107</v>
      </c>
      <c r="F96" s="53" t="s">
        <v>92</v>
      </c>
      <c r="G96" s="53" t="s">
        <v>62</v>
      </c>
      <c r="H96" s="53" t="s">
        <v>188</v>
      </c>
      <c r="I96" s="53"/>
      <c r="J96" s="54"/>
      <c r="K96" s="54">
        <v>2.2669999999999999</v>
      </c>
      <c r="L96" s="54"/>
      <c r="M96" s="32"/>
      <c r="N96" s="55"/>
      <c r="O96" s="55"/>
      <c r="P96" s="55"/>
      <c r="Q96" s="55"/>
      <c r="R96" s="56" t="s">
        <v>31</v>
      </c>
      <c r="S96" s="56"/>
      <c r="T96" s="32" t="s">
        <v>13</v>
      </c>
      <c r="U96" s="33"/>
    </row>
    <row r="97" spans="1:21" x14ac:dyDescent="0.25">
      <c r="A97" s="79"/>
      <c r="B97" s="25"/>
      <c r="C97" s="26" t="s">
        <v>39</v>
      </c>
      <c r="D97" s="25"/>
      <c r="E97" s="52" t="s">
        <v>170</v>
      </c>
      <c r="F97" s="53" t="s">
        <v>92</v>
      </c>
      <c r="G97" s="53" t="s">
        <v>62</v>
      </c>
      <c r="H97" s="53" t="s">
        <v>189</v>
      </c>
      <c r="I97" s="53"/>
      <c r="J97" s="54"/>
      <c r="K97" s="54">
        <v>1.214</v>
      </c>
      <c r="L97" s="54"/>
      <c r="M97" s="32"/>
      <c r="N97" s="55"/>
      <c r="O97" s="55"/>
      <c r="P97" s="55"/>
      <c r="Q97" s="55"/>
      <c r="R97" s="56" t="s">
        <v>31</v>
      </c>
      <c r="S97" s="56"/>
      <c r="T97" s="32" t="s">
        <v>13</v>
      </c>
      <c r="U97" s="33"/>
    </row>
    <row r="98" spans="1:21" x14ac:dyDescent="0.25">
      <c r="A98" s="79"/>
      <c r="B98" s="83"/>
      <c r="C98" s="83"/>
      <c r="D98" s="83"/>
      <c r="E98" s="85" t="s">
        <v>183</v>
      </c>
      <c r="F98" s="53" t="s">
        <v>92</v>
      </c>
      <c r="G98" s="53" t="s">
        <v>62</v>
      </c>
      <c r="H98" s="53" t="s">
        <v>189</v>
      </c>
      <c r="I98" s="86"/>
      <c r="J98" s="87"/>
      <c r="K98" s="87">
        <v>0.83499999999999996</v>
      </c>
      <c r="L98" s="87"/>
      <c r="M98" s="79"/>
      <c r="N98" s="106"/>
      <c r="O98" s="106"/>
      <c r="P98" s="106"/>
      <c r="Q98" s="106"/>
      <c r="R98" s="56" t="s">
        <v>31</v>
      </c>
      <c r="S98" s="56"/>
      <c r="T98" s="32" t="s">
        <v>13</v>
      </c>
      <c r="U98" s="79"/>
    </row>
    <row r="99" spans="1:21" x14ac:dyDescent="0.25">
      <c r="A99" s="57"/>
      <c r="B99" s="58"/>
      <c r="C99" s="59"/>
      <c r="D99" s="60"/>
      <c r="E99" s="60"/>
      <c r="F99" s="61"/>
      <c r="G99" s="62"/>
      <c r="H99" s="61"/>
      <c r="I99" s="63"/>
      <c r="J99" s="64"/>
      <c r="K99" s="64"/>
      <c r="L99" s="64"/>
      <c r="M99" s="64"/>
      <c r="N99" s="64"/>
      <c r="O99" s="64"/>
      <c r="P99" s="64"/>
      <c r="Q99" s="64"/>
      <c r="R99" s="65"/>
      <c r="S99" s="65"/>
      <c r="T99" s="64"/>
      <c r="U99" s="66"/>
    </row>
    <row r="100" spans="1:21" x14ac:dyDescent="0.25">
      <c r="A100" s="32">
        <v>21</v>
      </c>
      <c r="B100" s="25"/>
      <c r="C100" s="25" t="s">
        <v>214</v>
      </c>
      <c r="D100" s="25" t="s">
        <v>86</v>
      </c>
      <c r="E100" s="52" t="s">
        <v>215</v>
      </c>
      <c r="F100" s="53">
        <v>46268</v>
      </c>
      <c r="G100" s="53" t="s">
        <v>62</v>
      </c>
      <c r="H100" s="53" t="s">
        <v>174</v>
      </c>
      <c r="I100" s="53"/>
      <c r="J100" s="32"/>
      <c r="K100" s="32">
        <v>0.67900000000000005</v>
      </c>
      <c r="L100" s="32"/>
      <c r="M100" s="32"/>
      <c r="N100" s="32"/>
      <c r="O100" s="32"/>
      <c r="P100" s="32"/>
      <c r="Q100" s="32"/>
      <c r="R100" s="82" t="s">
        <v>34</v>
      </c>
      <c r="S100" s="82"/>
      <c r="T100" s="32" t="s">
        <v>125</v>
      </c>
      <c r="U100" s="32"/>
    </row>
    <row r="101" spans="1:21" x14ac:dyDescent="0.25">
      <c r="A101" s="32"/>
      <c r="B101" s="25"/>
      <c r="C101" s="25" t="s">
        <v>596</v>
      </c>
      <c r="D101" s="25"/>
      <c r="E101" s="52" t="s">
        <v>216</v>
      </c>
      <c r="F101" s="53">
        <v>46268</v>
      </c>
      <c r="G101" s="53" t="s">
        <v>62</v>
      </c>
      <c r="H101" s="53" t="s">
        <v>205</v>
      </c>
      <c r="I101" s="53"/>
      <c r="J101" s="32"/>
      <c r="K101" s="32">
        <v>1.643</v>
      </c>
      <c r="L101" s="32"/>
      <c r="M101" s="32"/>
      <c r="N101" s="32"/>
      <c r="O101" s="32"/>
      <c r="P101" s="32"/>
      <c r="Q101" s="32"/>
      <c r="R101" s="82" t="s">
        <v>33</v>
      </c>
      <c r="S101" s="82"/>
      <c r="T101" s="32" t="s">
        <v>125</v>
      </c>
      <c r="U101" s="32"/>
    </row>
    <row r="102" spans="1:21" x14ac:dyDescent="0.25">
      <c r="A102" s="32"/>
      <c r="B102" s="25"/>
      <c r="C102" s="25" t="s">
        <v>597</v>
      </c>
      <c r="D102" s="25"/>
      <c r="E102" s="52" t="s">
        <v>217</v>
      </c>
      <c r="F102" s="53">
        <v>46268</v>
      </c>
      <c r="G102" s="53" t="s">
        <v>62</v>
      </c>
      <c r="H102" s="53" t="s">
        <v>225</v>
      </c>
      <c r="I102" s="81"/>
      <c r="J102" s="32"/>
      <c r="K102" s="32">
        <v>2.64</v>
      </c>
      <c r="L102" s="32"/>
      <c r="M102" s="32"/>
      <c r="N102" s="32"/>
      <c r="O102" s="32"/>
      <c r="P102" s="32"/>
      <c r="Q102" s="32"/>
      <c r="R102" s="82" t="s">
        <v>33</v>
      </c>
      <c r="S102" s="82"/>
      <c r="T102" s="32" t="s">
        <v>125</v>
      </c>
      <c r="U102" s="32"/>
    </row>
    <row r="103" spans="1:21" x14ac:dyDescent="0.25">
      <c r="A103" s="32"/>
      <c r="B103" s="25"/>
      <c r="C103" s="25" t="s">
        <v>598</v>
      </c>
      <c r="D103" s="25"/>
      <c r="E103" s="52" t="s">
        <v>218</v>
      </c>
      <c r="F103" s="53">
        <v>46268</v>
      </c>
      <c r="G103" s="53" t="s">
        <v>62</v>
      </c>
      <c r="H103" s="53">
        <v>46027</v>
      </c>
      <c r="I103" s="81"/>
      <c r="J103" s="32"/>
      <c r="K103" s="32">
        <v>5.5940000000000003</v>
      </c>
      <c r="L103" s="32"/>
      <c r="M103" s="32"/>
      <c r="N103" s="32"/>
      <c r="O103" s="32"/>
      <c r="P103" s="32"/>
      <c r="Q103" s="32"/>
      <c r="R103" s="82" t="s">
        <v>226</v>
      </c>
      <c r="S103" s="107" t="s">
        <v>244</v>
      </c>
      <c r="T103" s="109" t="s">
        <v>269</v>
      </c>
      <c r="U103" s="32"/>
    </row>
    <row r="104" spans="1:21" x14ac:dyDescent="0.25">
      <c r="A104" s="32"/>
      <c r="B104" s="25"/>
      <c r="C104" s="25" t="s">
        <v>599</v>
      </c>
      <c r="D104" s="25"/>
      <c r="E104" s="52" t="s">
        <v>220</v>
      </c>
      <c r="F104" s="53">
        <v>46268</v>
      </c>
      <c r="G104" s="53" t="s">
        <v>62</v>
      </c>
      <c r="H104" s="53" t="s">
        <v>403</v>
      </c>
      <c r="I104" s="81"/>
      <c r="J104" s="32"/>
      <c r="K104" s="32">
        <v>4.782</v>
      </c>
      <c r="L104" s="32"/>
      <c r="M104" s="32"/>
      <c r="N104" s="32"/>
      <c r="O104" s="32"/>
      <c r="P104" s="53" t="s">
        <v>403</v>
      </c>
      <c r="Q104" s="82" t="s">
        <v>255</v>
      </c>
      <c r="R104" s="82" t="s">
        <v>31</v>
      </c>
      <c r="S104" s="82" t="s">
        <v>255</v>
      </c>
      <c r="T104" s="56" t="s">
        <v>17</v>
      </c>
      <c r="U104" s="32"/>
    </row>
    <row r="105" spans="1:21" x14ac:dyDescent="0.25">
      <c r="A105" s="32"/>
      <c r="B105" s="25"/>
      <c r="C105" s="25" t="s">
        <v>600</v>
      </c>
      <c r="D105" s="25"/>
      <c r="E105" s="52" t="s">
        <v>221</v>
      </c>
      <c r="F105" s="53">
        <v>46268</v>
      </c>
      <c r="G105" s="53" t="s">
        <v>62</v>
      </c>
      <c r="H105" s="53" t="s">
        <v>194</v>
      </c>
      <c r="I105" s="81"/>
      <c r="J105" s="32"/>
      <c r="K105" s="32">
        <v>4.1619999999999999</v>
      </c>
      <c r="L105" s="32"/>
      <c r="M105" s="32"/>
      <c r="N105" s="32"/>
      <c r="O105" s="32"/>
      <c r="P105" s="32"/>
      <c r="Q105" s="32"/>
      <c r="R105" s="82" t="s">
        <v>33</v>
      </c>
      <c r="S105" s="82"/>
      <c r="T105" s="32" t="s">
        <v>13</v>
      </c>
      <c r="U105" s="32"/>
    </row>
    <row r="106" spans="1:21" x14ac:dyDescent="0.25">
      <c r="A106" s="32"/>
      <c r="B106" s="25"/>
      <c r="C106" s="25" t="s">
        <v>601</v>
      </c>
      <c r="D106" s="25"/>
      <c r="E106" s="52" t="s">
        <v>222</v>
      </c>
      <c r="F106" s="53">
        <v>46268</v>
      </c>
      <c r="G106" s="53" t="s">
        <v>62</v>
      </c>
      <c r="H106" s="53" t="s">
        <v>315</v>
      </c>
      <c r="I106" s="81"/>
      <c r="J106" s="32"/>
      <c r="K106" s="32">
        <v>12.372999999999999</v>
      </c>
      <c r="L106" s="32"/>
      <c r="M106" s="32" t="s">
        <v>316</v>
      </c>
      <c r="N106" s="32"/>
      <c r="O106" s="32"/>
      <c r="P106" s="53" t="s">
        <v>299</v>
      </c>
      <c r="Q106" s="82" t="s">
        <v>255</v>
      </c>
      <c r="R106" s="82" t="s">
        <v>31</v>
      </c>
      <c r="S106" s="82" t="s">
        <v>255</v>
      </c>
      <c r="T106" s="32" t="s">
        <v>269</v>
      </c>
      <c r="U106" s="32"/>
    </row>
    <row r="107" spans="1:21" x14ac:dyDescent="0.25">
      <c r="A107" s="32"/>
      <c r="B107" s="25"/>
      <c r="C107" s="25" t="s">
        <v>602</v>
      </c>
      <c r="D107" s="25"/>
      <c r="E107" s="52" t="s">
        <v>223</v>
      </c>
      <c r="F107" s="53">
        <v>46268</v>
      </c>
      <c r="G107" s="53" t="s">
        <v>62</v>
      </c>
      <c r="H107" s="53">
        <v>46148</v>
      </c>
      <c r="I107" s="81"/>
      <c r="J107" s="32"/>
      <c r="K107" s="32">
        <v>2.9350000000000001</v>
      </c>
      <c r="L107" s="32"/>
      <c r="M107" s="32"/>
      <c r="N107" s="32"/>
      <c r="O107" s="32"/>
      <c r="P107" s="32"/>
      <c r="Q107" s="32"/>
      <c r="R107" s="82" t="s">
        <v>31</v>
      </c>
      <c r="S107" s="82"/>
      <c r="T107" s="32" t="s">
        <v>269</v>
      </c>
      <c r="U107" s="32"/>
    </row>
    <row r="108" spans="1:21" x14ac:dyDescent="0.25">
      <c r="A108" s="32"/>
      <c r="B108" s="25"/>
      <c r="C108" s="25"/>
      <c r="D108" s="25"/>
      <c r="E108" s="52" t="s">
        <v>224</v>
      </c>
      <c r="F108" s="53">
        <v>46298</v>
      </c>
      <c r="G108" s="53" t="s">
        <v>62</v>
      </c>
      <c r="H108" s="53">
        <v>46116</v>
      </c>
      <c r="I108" s="81"/>
      <c r="J108" s="32"/>
      <c r="K108" s="32">
        <v>1.37</v>
      </c>
      <c r="L108" s="32"/>
      <c r="M108" s="32"/>
      <c r="N108" s="32"/>
      <c r="O108" s="32"/>
      <c r="P108" s="32"/>
      <c r="Q108" s="32"/>
      <c r="R108" s="82" t="s">
        <v>34</v>
      </c>
      <c r="S108" s="82"/>
      <c r="T108" s="32" t="s">
        <v>125</v>
      </c>
      <c r="U108" s="79"/>
    </row>
    <row r="109" spans="1:21" x14ac:dyDescent="0.25">
      <c r="A109" s="57"/>
      <c r="B109" s="58"/>
      <c r="C109" s="59"/>
      <c r="D109" s="60"/>
      <c r="E109" s="60"/>
      <c r="F109" s="61"/>
      <c r="G109" s="62"/>
      <c r="H109" s="61"/>
      <c r="I109" s="63"/>
      <c r="J109" s="64"/>
      <c r="K109" s="64"/>
      <c r="L109" s="64"/>
      <c r="M109" s="64"/>
      <c r="N109" s="64"/>
      <c r="O109" s="64"/>
      <c r="P109" s="64"/>
      <c r="Q109" s="64"/>
      <c r="R109" s="65"/>
      <c r="S109" s="65"/>
      <c r="T109" s="64"/>
      <c r="U109" s="66"/>
    </row>
    <row r="110" spans="1:21" x14ac:dyDescent="0.25">
      <c r="A110" s="32">
        <v>22</v>
      </c>
      <c r="B110" s="25"/>
      <c r="C110" s="25" t="s">
        <v>42</v>
      </c>
      <c r="D110" s="25" t="s">
        <v>86</v>
      </c>
      <c r="E110" s="52" t="s">
        <v>107</v>
      </c>
      <c r="F110" s="53">
        <v>46298</v>
      </c>
      <c r="G110" s="53" t="s">
        <v>62</v>
      </c>
      <c r="H110" s="53" t="s">
        <v>190</v>
      </c>
      <c r="I110" s="81"/>
      <c r="J110" s="32"/>
      <c r="K110" s="32">
        <v>3.0409999999999999</v>
      </c>
      <c r="L110" s="32"/>
      <c r="M110" s="32"/>
      <c r="N110" s="32"/>
      <c r="O110" s="32"/>
      <c r="P110" s="32"/>
      <c r="Q110" s="32"/>
      <c r="R110" s="82" t="s">
        <v>31</v>
      </c>
      <c r="S110" s="107" t="s">
        <v>244</v>
      </c>
      <c r="T110" s="32" t="s">
        <v>269</v>
      </c>
      <c r="U110" s="32"/>
    </row>
    <row r="111" spans="1:21" x14ac:dyDescent="0.25">
      <c r="A111" s="32"/>
      <c r="B111" s="25"/>
      <c r="C111" s="25" t="s">
        <v>603</v>
      </c>
      <c r="D111" s="25"/>
      <c r="E111" s="52" t="s">
        <v>158</v>
      </c>
      <c r="F111" s="53">
        <v>46298</v>
      </c>
      <c r="G111" s="53" t="s">
        <v>62</v>
      </c>
      <c r="H111" s="53">
        <v>46027</v>
      </c>
      <c r="I111" s="81"/>
      <c r="J111" s="32"/>
      <c r="K111" s="32">
        <v>4.2610000000000001</v>
      </c>
      <c r="L111" s="32"/>
      <c r="M111" s="32"/>
      <c r="N111" s="32"/>
      <c r="O111" s="32"/>
      <c r="P111" s="32"/>
      <c r="Q111" s="32"/>
      <c r="R111" s="82" t="s">
        <v>31</v>
      </c>
      <c r="S111" s="107" t="s">
        <v>244</v>
      </c>
      <c r="T111" s="32" t="s">
        <v>269</v>
      </c>
      <c r="U111" s="32"/>
    </row>
    <row r="112" spans="1:21" x14ac:dyDescent="0.25">
      <c r="A112" s="72"/>
      <c r="B112" s="73"/>
      <c r="C112" s="74"/>
      <c r="D112" s="73"/>
      <c r="E112" s="73"/>
      <c r="F112" s="75"/>
      <c r="G112" s="76"/>
      <c r="H112" s="77"/>
      <c r="I112" s="77"/>
      <c r="J112" s="72"/>
      <c r="K112" s="72"/>
      <c r="L112" s="72"/>
      <c r="M112" s="72"/>
      <c r="N112" s="72"/>
      <c r="O112" s="72"/>
      <c r="P112" s="72"/>
      <c r="Q112" s="72"/>
      <c r="R112" s="78"/>
      <c r="S112" s="78"/>
      <c r="T112" s="72"/>
      <c r="U112" s="72"/>
    </row>
    <row r="113" spans="1:21" x14ac:dyDescent="0.25">
      <c r="A113" s="32">
        <v>23</v>
      </c>
      <c r="B113" s="25"/>
      <c r="C113" s="25" t="s">
        <v>43</v>
      </c>
      <c r="D113" s="25" t="s">
        <v>86</v>
      </c>
      <c r="E113" s="52" t="s">
        <v>107</v>
      </c>
      <c r="F113" s="53">
        <v>46298</v>
      </c>
      <c r="G113" s="53" t="s">
        <v>62</v>
      </c>
      <c r="H113" s="53" t="s">
        <v>167</v>
      </c>
      <c r="I113" s="81"/>
      <c r="J113" s="32"/>
      <c r="K113" s="32">
        <v>15.362</v>
      </c>
      <c r="L113" s="32"/>
      <c r="M113" s="32"/>
      <c r="N113" s="32"/>
      <c r="O113" s="32"/>
      <c r="P113" s="32"/>
      <c r="Q113" s="32"/>
      <c r="R113" s="82" t="s">
        <v>31</v>
      </c>
      <c r="S113" s="82"/>
      <c r="T113" s="32" t="s">
        <v>125</v>
      </c>
      <c r="U113" s="32"/>
    </row>
    <row r="114" spans="1:21" x14ac:dyDescent="0.25">
      <c r="A114" s="32"/>
      <c r="B114" s="25"/>
      <c r="C114" s="25" t="s">
        <v>604</v>
      </c>
      <c r="D114" s="25"/>
      <c r="E114" s="52" t="s">
        <v>200</v>
      </c>
      <c r="F114" s="53">
        <v>46298</v>
      </c>
      <c r="G114" s="53" t="s">
        <v>62</v>
      </c>
      <c r="H114" s="53">
        <v>46027</v>
      </c>
      <c r="I114" s="81"/>
      <c r="J114" s="32"/>
      <c r="K114" s="32">
        <v>5.0119999999999996</v>
      </c>
      <c r="L114" s="32"/>
      <c r="M114" s="32"/>
      <c r="N114" s="32"/>
      <c r="O114" s="32"/>
      <c r="P114" s="32"/>
      <c r="Q114" s="32"/>
      <c r="R114" s="82" t="s">
        <v>245</v>
      </c>
      <c r="S114" s="107" t="s">
        <v>244</v>
      </c>
      <c r="T114" s="32" t="s">
        <v>125</v>
      </c>
      <c r="U114" s="32"/>
    </row>
    <row r="115" spans="1:21" x14ac:dyDescent="0.25">
      <c r="A115" s="72"/>
      <c r="B115" s="73"/>
      <c r="C115" s="74"/>
      <c r="D115" s="73"/>
      <c r="E115" s="73"/>
      <c r="F115" s="75"/>
      <c r="G115" s="76"/>
      <c r="H115" s="77"/>
      <c r="I115" s="77"/>
      <c r="J115" s="72"/>
      <c r="K115" s="72"/>
      <c r="L115" s="72"/>
      <c r="M115" s="72"/>
      <c r="N115" s="72"/>
      <c r="O115" s="72"/>
      <c r="P115" s="72"/>
      <c r="Q115" s="72"/>
      <c r="R115" s="78"/>
      <c r="S115" s="78"/>
      <c r="T115" s="72"/>
      <c r="U115" s="72"/>
    </row>
    <row r="116" spans="1:21" x14ac:dyDescent="0.25">
      <c r="A116" s="32">
        <v>24</v>
      </c>
      <c r="B116" s="25"/>
      <c r="C116" s="25" t="s">
        <v>44</v>
      </c>
      <c r="D116" s="25" t="s">
        <v>86</v>
      </c>
      <c r="E116" s="52" t="s">
        <v>29</v>
      </c>
      <c r="F116" s="53">
        <v>46359</v>
      </c>
      <c r="G116" s="53" t="s">
        <v>62</v>
      </c>
      <c r="H116" s="53">
        <v>46238</v>
      </c>
      <c r="I116" s="81"/>
      <c r="J116" s="32"/>
      <c r="K116" s="32">
        <v>2.2690000000000001</v>
      </c>
      <c r="L116" s="32"/>
      <c r="M116" s="32"/>
      <c r="N116" s="32"/>
      <c r="O116" s="32"/>
      <c r="P116" s="32"/>
      <c r="Q116" s="32"/>
      <c r="R116" s="82" t="s">
        <v>63</v>
      </c>
      <c r="S116" s="82"/>
      <c r="T116" s="32" t="s">
        <v>13</v>
      </c>
      <c r="U116" s="32"/>
    </row>
    <row r="117" spans="1:21" x14ac:dyDescent="0.25">
      <c r="A117" s="32"/>
      <c r="B117" s="25"/>
      <c r="C117" s="25" t="s">
        <v>605</v>
      </c>
      <c r="D117" s="25"/>
      <c r="E117" s="52" t="s">
        <v>53</v>
      </c>
      <c r="F117" s="53">
        <v>46359</v>
      </c>
      <c r="G117" s="53" t="s">
        <v>62</v>
      </c>
      <c r="H117" s="53" t="s">
        <v>299</v>
      </c>
      <c r="I117" s="81"/>
      <c r="J117" s="32"/>
      <c r="K117" s="32">
        <v>9.2959999999999994</v>
      </c>
      <c r="L117" s="32"/>
      <c r="M117" s="32"/>
      <c r="N117" s="32"/>
      <c r="O117" s="32"/>
      <c r="P117" s="53" t="s">
        <v>206</v>
      </c>
      <c r="Q117" s="82" t="s">
        <v>255</v>
      </c>
      <c r="R117" s="82" t="s">
        <v>63</v>
      </c>
      <c r="S117" s="82" t="s">
        <v>255</v>
      </c>
      <c r="T117" s="54" t="s">
        <v>269</v>
      </c>
      <c r="U117" s="32" t="s">
        <v>236</v>
      </c>
    </row>
    <row r="118" spans="1:21" x14ac:dyDescent="0.25">
      <c r="A118" s="72"/>
      <c r="B118" s="73"/>
      <c r="C118" s="74"/>
      <c r="D118" s="73"/>
      <c r="E118" s="73"/>
      <c r="F118" s="75"/>
      <c r="G118" s="76"/>
      <c r="H118" s="77"/>
      <c r="I118" s="77"/>
      <c r="J118" s="72"/>
      <c r="K118" s="72"/>
      <c r="L118" s="72"/>
      <c r="M118" s="72"/>
      <c r="N118" s="72"/>
      <c r="O118" s="72"/>
      <c r="P118" s="72"/>
      <c r="Q118" s="72"/>
      <c r="R118" s="78"/>
      <c r="S118" s="78"/>
      <c r="T118" s="72"/>
      <c r="U118" s="72"/>
    </row>
    <row r="119" spans="1:21" x14ac:dyDescent="0.25">
      <c r="A119" s="32">
        <v>25</v>
      </c>
      <c r="B119" s="25"/>
      <c r="C119" s="25" t="s">
        <v>45</v>
      </c>
      <c r="D119" s="25" t="s">
        <v>86</v>
      </c>
      <c r="E119" s="52" t="s">
        <v>107</v>
      </c>
      <c r="F119" s="53" t="s">
        <v>102</v>
      </c>
      <c r="G119" s="53" t="s">
        <v>62</v>
      </c>
      <c r="H119" s="53">
        <v>46299</v>
      </c>
      <c r="I119" s="81"/>
      <c r="J119" s="32"/>
      <c r="K119" s="32">
        <v>3.7890000000000001</v>
      </c>
      <c r="L119" s="32"/>
      <c r="M119" s="32"/>
      <c r="N119" s="32"/>
      <c r="O119" s="32"/>
      <c r="P119" s="32"/>
      <c r="Q119" s="32"/>
      <c r="R119" s="82" t="s">
        <v>124</v>
      </c>
      <c r="S119" s="82"/>
      <c r="T119" s="32" t="s">
        <v>13</v>
      </c>
      <c r="U119" s="32"/>
    </row>
    <row r="120" spans="1:21" x14ac:dyDescent="0.25">
      <c r="A120" s="32"/>
      <c r="B120" s="25"/>
      <c r="C120" s="25" t="s">
        <v>45</v>
      </c>
      <c r="D120" s="25"/>
      <c r="E120" s="52" t="s">
        <v>235</v>
      </c>
      <c r="F120" s="53" t="s">
        <v>102</v>
      </c>
      <c r="G120" s="53" t="s">
        <v>62</v>
      </c>
      <c r="H120" s="53">
        <v>46117</v>
      </c>
      <c r="I120" s="81"/>
      <c r="J120" s="32"/>
      <c r="K120" s="32">
        <v>3.1909999999999998</v>
      </c>
      <c r="L120" s="32"/>
      <c r="M120" s="32"/>
      <c r="N120" s="32"/>
      <c r="O120" s="32"/>
      <c r="P120" s="32"/>
      <c r="Q120" s="32"/>
      <c r="R120" s="82" t="s">
        <v>124</v>
      </c>
      <c r="S120" s="82"/>
      <c r="T120" s="32" t="s">
        <v>13</v>
      </c>
      <c r="U120" s="32"/>
    </row>
    <row r="121" spans="1:21" x14ac:dyDescent="0.25">
      <c r="A121" s="32"/>
      <c r="B121" s="25"/>
      <c r="C121" s="25" t="s">
        <v>45</v>
      </c>
      <c r="D121" s="25"/>
      <c r="E121" s="52" t="s">
        <v>286</v>
      </c>
      <c r="F121" s="53" t="s">
        <v>102</v>
      </c>
      <c r="G121" s="53" t="s">
        <v>62</v>
      </c>
      <c r="H121" s="53">
        <v>46117</v>
      </c>
      <c r="I121" s="81"/>
      <c r="J121" s="32"/>
      <c r="K121" s="32">
        <v>5.85</v>
      </c>
      <c r="L121" s="32"/>
      <c r="M121" s="32"/>
      <c r="N121" s="32"/>
      <c r="O121" s="32"/>
      <c r="P121" s="32"/>
      <c r="Q121" s="32"/>
      <c r="R121" s="82" t="s">
        <v>277</v>
      </c>
      <c r="S121" s="107" t="s">
        <v>244</v>
      </c>
      <c r="T121" s="32" t="s">
        <v>269</v>
      </c>
      <c r="U121" s="32"/>
    </row>
    <row r="122" spans="1:21" x14ac:dyDescent="0.25">
      <c r="A122" s="32"/>
      <c r="B122" s="25"/>
      <c r="C122" s="25" t="s">
        <v>45</v>
      </c>
      <c r="D122" s="25"/>
      <c r="E122" s="52" t="s">
        <v>173</v>
      </c>
      <c r="F122" s="53" t="s">
        <v>102</v>
      </c>
      <c r="G122" s="53" t="s">
        <v>62</v>
      </c>
      <c r="H122" s="53">
        <v>46331</v>
      </c>
      <c r="I122" s="81"/>
      <c r="J122" s="32"/>
      <c r="K122" s="32">
        <v>2.95</v>
      </c>
      <c r="L122" s="32"/>
      <c r="M122" s="32"/>
      <c r="N122" s="32"/>
      <c r="O122" s="32"/>
      <c r="P122" s="32"/>
      <c r="Q122" s="32"/>
      <c r="R122" s="82" t="s">
        <v>253</v>
      </c>
      <c r="S122" s="82" t="s">
        <v>255</v>
      </c>
      <c r="T122" s="54" t="s">
        <v>269</v>
      </c>
      <c r="U122" s="32"/>
    </row>
    <row r="123" spans="1:21" x14ac:dyDescent="0.25">
      <c r="A123" s="72"/>
      <c r="B123" s="73"/>
      <c r="C123" s="74"/>
      <c r="D123" s="73"/>
      <c r="E123" s="73"/>
      <c r="F123" s="75"/>
      <c r="G123" s="76"/>
      <c r="H123" s="75"/>
      <c r="I123" s="77"/>
      <c r="J123" s="72"/>
      <c r="K123" s="72"/>
      <c r="L123" s="72"/>
      <c r="M123" s="72"/>
      <c r="N123" s="72"/>
      <c r="O123" s="72"/>
      <c r="P123" s="72"/>
      <c r="Q123" s="72"/>
      <c r="R123" s="78"/>
      <c r="S123" s="78"/>
      <c r="T123" s="72"/>
      <c r="U123" s="72"/>
    </row>
    <row r="124" spans="1:21" x14ac:dyDescent="0.25">
      <c r="A124" s="79">
        <v>26</v>
      </c>
      <c r="B124" s="25"/>
      <c r="C124" s="25" t="s">
        <v>202</v>
      </c>
      <c r="D124" s="25" t="s">
        <v>86</v>
      </c>
      <c r="E124" s="52" t="s">
        <v>203</v>
      </c>
      <c r="F124" s="53" t="s">
        <v>155</v>
      </c>
      <c r="G124" s="53" t="s">
        <v>62</v>
      </c>
      <c r="H124" s="53">
        <v>46238</v>
      </c>
      <c r="I124" s="81"/>
      <c r="J124" s="32"/>
      <c r="K124" s="32">
        <v>0.67400000000000004</v>
      </c>
      <c r="L124" s="32"/>
      <c r="M124" s="32"/>
      <c r="N124" s="32"/>
      <c r="O124" s="32"/>
      <c r="P124" s="32"/>
      <c r="Q124" s="32"/>
      <c r="R124" s="82" t="s">
        <v>124</v>
      </c>
      <c r="S124" s="82"/>
      <c r="T124" s="32" t="s">
        <v>13</v>
      </c>
      <c r="U124" s="79"/>
    </row>
    <row r="125" spans="1:21" x14ac:dyDescent="0.25">
      <c r="A125" s="79"/>
      <c r="B125" s="25"/>
      <c r="C125" s="25" t="s">
        <v>606</v>
      </c>
      <c r="D125" s="25"/>
      <c r="E125" s="52" t="s">
        <v>204</v>
      </c>
      <c r="F125" s="53" t="s">
        <v>155</v>
      </c>
      <c r="G125" s="53" t="s">
        <v>62</v>
      </c>
      <c r="H125" s="53">
        <v>46238</v>
      </c>
      <c r="I125" s="81"/>
      <c r="J125" s="32"/>
      <c r="K125" s="32">
        <v>0.17399999999999999</v>
      </c>
      <c r="L125" s="32"/>
      <c r="M125" s="32"/>
      <c r="N125" s="32"/>
      <c r="O125" s="32"/>
      <c r="P125" s="32"/>
      <c r="Q125" s="32"/>
      <c r="R125" s="82" t="s">
        <v>124</v>
      </c>
      <c r="S125" s="82"/>
      <c r="T125" s="32" t="s">
        <v>13</v>
      </c>
      <c r="U125" s="79"/>
    </row>
    <row r="126" spans="1:21" x14ac:dyDescent="0.25">
      <c r="A126" s="72"/>
      <c r="B126" s="73"/>
      <c r="C126" s="74"/>
      <c r="D126" s="73"/>
      <c r="E126" s="73"/>
      <c r="F126" s="75"/>
      <c r="G126" s="76"/>
      <c r="H126" s="77"/>
      <c r="I126" s="77"/>
      <c r="J126" s="72"/>
      <c r="K126" s="72"/>
      <c r="L126" s="72"/>
      <c r="M126" s="72"/>
      <c r="N126" s="72"/>
      <c r="O126" s="72"/>
      <c r="P126" s="72"/>
      <c r="Q126" s="72"/>
      <c r="R126" s="78"/>
      <c r="S126" s="78"/>
      <c r="T126" s="72"/>
      <c r="U126" s="72"/>
    </row>
    <row r="127" spans="1:21" x14ac:dyDescent="0.25">
      <c r="A127" s="32">
        <v>27</v>
      </c>
      <c r="B127" s="25"/>
      <c r="C127" s="25" t="s">
        <v>47</v>
      </c>
      <c r="D127" s="25" t="s">
        <v>86</v>
      </c>
      <c r="E127" s="52" t="s">
        <v>107</v>
      </c>
      <c r="F127" s="53" t="s">
        <v>141</v>
      </c>
      <c r="G127" s="53" t="s">
        <v>62</v>
      </c>
      <c r="H127" s="53">
        <v>46177</v>
      </c>
      <c r="I127" s="81"/>
      <c r="J127" s="32"/>
      <c r="K127" s="32">
        <v>22.524000000000001</v>
      </c>
      <c r="L127" s="32"/>
      <c r="M127" s="32"/>
      <c r="N127" s="32"/>
      <c r="O127" s="32"/>
      <c r="P127" s="32"/>
      <c r="Q127" s="32"/>
      <c r="R127" s="82" t="s">
        <v>31</v>
      </c>
      <c r="S127" s="82" t="s">
        <v>255</v>
      </c>
      <c r="T127" s="32" t="s">
        <v>13</v>
      </c>
      <c r="U127" s="32"/>
    </row>
    <row r="128" spans="1:21" x14ac:dyDescent="0.25">
      <c r="A128" s="32"/>
      <c r="B128" s="25"/>
      <c r="C128" s="25" t="s">
        <v>47</v>
      </c>
      <c r="D128" s="25"/>
      <c r="E128" s="52" t="s">
        <v>287</v>
      </c>
      <c r="F128" s="53" t="s">
        <v>141</v>
      </c>
      <c r="G128" s="53" t="s">
        <v>62</v>
      </c>
      <c r="H128" s="53">
        <v>46361</v>
      </c>
      <c r="I128" s="81"/>
      <c r="J128" s="32"/>
      <c r="K128" s="32">
        <v>5.7809999999999997</v>
      </c>
      <c r="L128" s="32"/>
      <c r="M128" s="32"/>
      <c r="N128" s="32"/>
      <c r="O128" s="32"/>
      <c r="P128" s="32"/>
      <c r="Q128" s="32"/>
      <c r="R128" s="82" t="s">
        <v>279</v>
      </c>
      <c r="S128" s="82" t="s">
        <v>255</v>
      </c>
      <c r="T128" s="54" t="s">
        <v>269</v>
      </c>
      <c r="U128" s="32"/>
    </row>
    <row r="129" spans="1:21" x14ac:dyDescent="0.25">
      <c r="A129" s="32"/>
      <c r="B129" s="25"/>
      <c r="C129" s="25" t="s">
        <v>47</v>
      </c>
      <c r="D129" s="25"/>
      <c r="E129" s="52" t="s">
        <v>288</v>
      </c>
      <c r="F129" s="53" t="s">
        <v>141</v>
      </c>
      <c r="G129" s="53" t="s">
        <v>62</v>
      </c>
      <c r="H129" s="53" t="s">
        <v>306</v>
      </c>
      <c r="I129" s="81"/>
      <c r="J129" s="32"/>
      <c r="K129" s="32">
        <v>10.773</v>
      </c>
      <c r="L129" s="32"/>
      <c r="M129" s="32"/>
      <c r="N129" s="32"/>
      <c r="O129" s="32"/>
      <c r="P129" s="53" t="s">
        <v>289</v>
      </c>
      <c r="Q129" s="82" t="s">
        <v>255</v>
      </c>
      <c r="R129" s="82" t="s">
        <v>16</v>
      </c>
      <c r="S129" s="82" t="s">
        <v>255</v>
      </c>
      <c r="T129" s="54" t="s">
        <v>269</v>
      </c>
      <c r="U129" s="32"/>
    </row>
    <row r="130" spans="1:21" x14ac:dyDescent="0.25">
      <c r="A130" s="32"/>
      <c r="B130" s="25"/>
      <c r="C130" s="25" t="s">
        <v>47</v>
      </c>
      <c r="D130" s="25"/>
      <c r="E130" s="52" t="s">
        <v>415</v>
      </c>
      <c r="F130" s="53" t="s">
        <v>141</v>
      </c>
      <c r="G130" s="53" t="s">
        <v>62</v>
      </c>
      <c r="H130" s="53" t="s">
        <v>401</v>
      </c>
      <c r="I130" s="81"/>
      <c r="J130" s="32"/>
      <c r="K130" s="32">
        <v>10.013999999999999</v>
      </c>
      <c r="L130" s="32"/>
      <c r="M130" s="32"/>
      <c r="N130" s="32"/>
      <c r="O130" s="32"/>
      <c r="P130" s="53" t="s">
        <v>369</v>
      </c>
      <c r="Q130" s="82" t="s">
        <v>255</v>
      </c>
      <c r="R130" s="82" t="s">
        <v>16</v>
      </c>
      <c r="S130" s="82" t="s">
        <v>255</v>
      </c>
      <c r="T130" s="54" t="s">
        <v>269</v>
      </c>
      <c r="U130" s="32"/>
    </row>
    <row r="131" spans="1:21" x14ac:dyDescent="0.25">
      <c r="A131" s="32"/>
      <c r="B131" s="25"/>
      <c r="C131" s="25" t="s">
        <v>47</v>
      </c>
      <c r="D131" s="25"/>
      <c r="E131" s="52" t="s">
        <v>417</v>
      </c>
      <c r="F131" s="53" t="s">
        <v>141</v>
      </c>
      <c r="G131" s="53" t="s">
        <v>62</v>
      </c>
      <c r="H131" s="53" t="s">
        <v>422</v>
      </c>
      <c r="I131" s="81"/>
      <c r="J131" s="32"/>
      <c r="K131" s="32">
        <v>4.7839999999999998</v>
      </c>
      <c r="L131" s="32"/>
      <c r="M131" s="32"/>
      <c r="N131" s="32"/>
      <c r="O131" s="32"/>
      <c r="P131" s="53" t="s">
        <v>289</v>
      </c>
      <c r="Q131" s="82" t="s">
        <v>255</v>
      </c>
      <c r="R131" s="82" t="s">
        <v>16</v>
      </c>
      <c r="S131" s="107" t="s">
        <v>244</v>
      </c>
      <c r="T131" s="32" t="s">
        <v>125</v>
      </c>
      <c r="U131" s="32" t="s">
        <v>418</v>
      </c>
    </row>
    <row r="132" spans="1:21" x14ac:dyDescent="0.25">
      <c r="A132" s="32"/>
      <c r="B132" s="25"/>
      <c r="C132" s="25" t="s">
        <v>47</v>
      </c>
      <c r="D132" s="25"/>
      <c r="E132" s="52" t="s">
        <v>416</v>
      </c>
      <c r="F132" s="53" t="s">
        <v>141</v>
      </c>
      <c r="G132" s="53" t="s">
        <v>62</v>
      </c>
      <c r="H132" s="53">
        <v>46087</v>
      </c>
      <c r="I132" s="81"/>
      <c r="J132" s="32"/>
      <c r="K132" s="32">
        <v>3.6429999999999998</v>
      </c>
      <c r="L132" s="32"/>
      <c r="M132" s="32"/>
      <c r="N132" s="32"/>
      <c r="O132" s="32"/>
      <c r="P132" s="32"/>
      <c r="Q132" s="32"/>
      <c r="R132" s="82" t="s">
        <v>16</v>
      </c>
      <c r="S132" s="82"/>
      <c r="T132" s="32" t="s">
        <v>125</v>
      </c>
      <c r="U132" s="32"/>
    </row>
    <row r="133" spans="1:21" x14ac:dyDescent="0.25">
      <c r="A133" s="32"/>
      <c r="B133" s="25"/>
      <c r="C133" s="25" t="s">
        <v>47</v>
      </c>
      <c r="D133" s="25"/>
      <c r="E133" s="52" t="s">
        <v>493</v>
      </c>
      <c r="F133" s="53" t="s">
        <v>141</v>
      </c>
      <c r="G133" s="53" t="s">
        <v>62</v>
      </c>
      <c r="H133" s="53">
        <v>46362</v>
      </c>
      <c r="I133" s="81"/>
      <c r="J133" s="32"/>
      <c r="K133" s="32">
        <v>14.818</v>
      </c>
      <c r="L133" s="32"/>
      <c r="M133" s="32"/>
      <c r="N133" s="32"/>
      <c r="O133" s="32"/>
      <c r="P133" s="53">
        <v>46361</v>
      </c>
      <c r="Q133" s="82" t="s">
        <v>255</v>
      </c>
      <c r="R133" s="82" t="s">
        <v>16</v>
      </c>
      <c r="S133" s="82" t="s">
        <v>255</v>
      </c>
      <c r="T133" s="54" t="s">
        <v>269</v>
      </c>
      <c r="U133" s="32"/>
    </row>
    <row r="134" spans="1:21" x14ac:dyDescent="0.25">
      <c r="A134" s="32"/>
      <c r="B134" s="25"/>
      <c r="C134" s="25" t="s">
        <v>47</v>
      </c>
      <c r="D134" s="25"/>
      <c r="E134" s="52" t="s">
        <v>209</v>
      </c>
      <c r="F134" s="53" t="s">
        <v>208</v>
      </c>
      <c r="G134" s="53" t="s">
        <v>62</v>
      </c>
      <c r="H134" s="53" t="s">
        <v>207</v>
      </c>
      <c r="I134" s="81"/>
      <c r="J134" s="32"/>
      <c r="K134" s="32">
        <v>0.57599999999999996</v>
      </c>
      <c r="L134" s="32"/>
      <c r="M134" s="32"/>
      <c r="N134" s="32"/>
      <c r="O134" s="32"/>
      <c r="P134" s="32"/>
      <c r="Q134" s="32"/>
      <c r="R134" s="82" t="s">
        <v>31</v>
      </c>
      <c r="S134" s="82"/>
      <c r="T134" s="32" t="s">
        <v>13</v>
      </c>
      <c r="U134" s="32"/>
    </row>
    <row r="135" spans="1:21" x14ac:dyDescent="0.25">
      <c r="A135" s="32"/>
      <c r="B135" s="25"/>
      <c r="C135" s="25" t="s">
        <v>47</v>
      </c>
      <c r="D135" s="25"/>
      <c r="E135" s="85" t="s">
        <v>270</v>
      </c>
      <c r="F135" s="53">
        <v>46239</v>
      </c>
      <c r="G135" s="53" t="s">
        <v>62</v>
      </c>
      <c r="H135" s="53">
        <v>46270</v>
      </c>
      <c r="I135" s="111"/>
      <c r="J135" s="79"/>
      <c r="K135" s="79">
        <v>0.123</v>
      </c>
      <c r="L135" s="79"/>
      <c r="M135" s="79"/>
      <c r="N135" s="79"/>
      <c r="O135" s="79"/>
      <c r="P135" s="79"/>
      <c r="Q135" s="79"/>
      <c r="R135" s="112" t="s">
        <v>17</v>
      </c>
      <c r="S135" s="112"/>
      <c r="T135" s="79" t="s">
        <v>125</v>
      </c>
      <c r="U135" s="79"/>
    </row>
    <row r="136" spans="1:21" x14ac:dyDescent="0.25">
      <c r="A136" s="72"/>
      <c r="B136" s="73"/>
      <c r="C136" s="74"/>
      <c r="D136" s="73"/>
      <c r="E136" s="73"/>
      <c r="F136" s="75"/>
      <c r="G136" s="76"/>
      <c r="H136" s="75"/>
      <c r="I136" s="77"/>
      <c r="J136" s="72"/>
      <c r="K136" s="72"/>
      <c r="L136" s="72"/>
      <c r="M136" s="72"/>
      <c r="N136" s="72"/>
      <c r="O136" s="72"/>
      <c r="P136" s="72"/>
      <c r="Q136" s="72"/>
      <c r="R136" s="78"/>
      <c r="S136" s="78"/>
      <c r="T136" s="72"/>
      <c r="U136" s="72"/>
    </row>
    <row r="137" spans="1:21" x14ac:dyDescent="0.25">
      <c r="A137" s="34">
        <v>28</v>
      </c>
      <c r="B137" s="25"/>
      <c r="C137" s="26" t="s">
        <v>48</v>
      </c>
      <c r="D137" s="25" t="s">
        <v>86</v>
      </c>
      <c r="E137" s="52" t="s">
        <v>191</v>
      </c>
      <c r="F137" s="53" t="s">
        <v>190</v>
      </c>
      <c r="G137" s="53" t="s">
        <v>62</v>
      </c>
      <c r="H137" s="53">
        <v>46238</v>
      </c>
      <c r="I137" s="53"/>
      <c r="J137" s="54"/>
      <c r="K137" s="54"/>
      <c r="L137" s="54"/>
      <c r="M137" s="32"/>
      <c r="N137" s="55"/>
      <c r="O137" s="55"/>
      <c r="P137" s="55"/>
      <c r="Q137" s="55"/>
      <c r="R137" s="56" t="s">
        <v>16</v>
      </c>
      <c r="S137" s="107" t="s">
        <v>244</v>
      </c>
      <c r="T137" s="32" t="s">
        <v>137</v>
      </c>
      <c r="U137" s="33"/>
    </row>
    <row r="138" spans="1:21" x14ac:dyDescent="0.25">
      <c r="A138" s="34"/>
      <c r="B138" s="25"/>
      <c r="C138" s="26" t="s">
        <v>607</v>
      </c>
      <c r="D138" s="25"/>
      <c r="E138" s="52" t="s">
        <v>192</v>
      </c>
      <c r="F138" s="53" t="s">
        <v>190</v>
      </c>
      <c r="G138" s="53" t="s">
        <v>62</v>
      </c>
      <c r="H138" s="53">
        <v>46299</v>
      </c>
      <c r="I138" s="53"/>
      <c r="J138" s="54"/>
      <c r="K138" s="54"/>
      <c r="L138" s="54"/>
      <c r="M138" s="32"/>
      <c r="N138" s="55"/>
      <c r="O138" s="55"/>
      <c r="P138" s="55"/>
      <c r="Q138" s="55"/>
      <c r="R138" s="56" t="s">
        <v>16</v>
      </c>
      <c r="S138" s="107" t="s">
        <v>244</v>
      </c>
      <c r="T138" s="32" t="s">
        <v>137</v>
      </c>
      <c r="U138" s="33"/>
    </row>
    <row r="139" spans="1:21" x14ac:dyDescent="0.25">
      <c r="A139" s="79"/>
      <c r="B139" s="25"/>
      <c r="C139" s="26" t="s">
        <v>608</v>
      </c>
      <c r="D139" s="25"/>
      <c r="E139" s="52" t="s">
        <v>193</v>
      </c>
      <c r="F139" s="53" t="s">
        <v>190</v>
      </c>
      <c r="G139" s="53" t="s">
        <v>62</v>
      </c>
      <c r="H139" s="53" t="s">
        <v>194</v>
      </c>
      <c r="I139" s="53"/>
      <c r="J139" s="54"/>
      <c r="K139" s="54"/>
      <c r="L139" s="54"/>
      <c r="M139" s="32"/>
      <c r="N139" s="55"/>
      <c r="O139" s="55"/>
      <c r="P139" s="55"/>
      <c r="Q139" s="55"/>
      <c r="R139" s="56" t="s">
        <v>16</v>
      </c>
      <c r="S139" s="107" t="s">
        <v>244</v>
      </c>
      <c r="T139" s="32" t="s">
        <v>137</v>
      </c>
      <c r="U139" s="33"/>
    </row>
    <row r="140" spans="1:21" x14ac:dyDescent="0.25">
      <c r="A140" s="57"/>
      <c r="B140" s="58"/>
      <c r="C140" s="68"/>
      <c r="D140" s="60"/>
      <c r="E140" s="60"/>
      <c r="F140" s="61"/>
      <c r="G140" s="62"/>
      <c r="H140" s="61"/>
      <c r="I140" s="63"/>
      <c r="J140" s="64"/>
      <c r="K140" s="64"/>
      <c r="L140" s="64"/>
      <c r="M140" s="64"/>
      <c r="N140" s="69"/>
      <c r="O140" s="69"/>
      <c r="P140" s="69"/>
      <c r="Q140" s="69"/>
      <c r="R140" s="70"/>
      <c r="S140" s="70"/>
      <c r="T140" s="64"/>
      <c r="U140" s="66"/>
    </row>
    <row r="141" spans="1:21" x14ac:dyDescent="0.25">
      <c r="A141" s="34">
        <v>29</v>
      </c>
      <c r="B141" s="25"/>
      <c r="C141" s="26" t="s">
        <v>46</v>
      </c>
      <c r="D141" s="25" t="s">
        <v>86</v>
      </c>
      <c r="E141" s="52" t="s">
        <v>107</v>
      </c>
      <c r="F141" s="53" t="s">
        <v>182</v>
      </c>
      <c r="G141" s="53" t="s">
        <v>62</v>
      </c>
      <c r="H141" s="53">
        <v>46177</v>
      </c>
      <c r="I141" s="53"/>
      <c r="J141" s="54"/>
      <c r="K141" s="54">
        <v>7.45</v>
      </c>
      <c r="L141" s="54"/>
      <c r="M141" s="32"/>
      <c r="N141" s="55"/>
      <c r="O141" s="55"/>
      <c r="P141" s="55"/>
      <c r="Q141" s="55"/>
      <c r="R141" s="56" t="s">
        <v>33</v>
      </c>
      <c r="S141" s="56"/>
      <c r="T141" s="32" t="s">
        <v>13</v>
      </c>
      <c r="U141" s="33"/>
    </row>
    <row r="142" spans="1:21" x14ac:dyDescent="0.25">
      <c r="A142" s="34"/>
      <c r="B142" s="25"/>
      <c r="C142" s="26" t="s">
        <v>46</v>
      </c>
      <c r="D142" s="25"/>
      <c r="E142" s="52" t="s">
        <v>150</v>
      </c>
      <c r="F142" s="53" t="s">
        <v>182</v>
      </c>
      <c r="G142" s="53" t="s">
        <v>62</v>
      </c>
      <c r="H142" s="53" t="s">
        <v>307</v>
      </c>
      <c r="I142" s="53"/>
      <c r="J142" s="54"/>
      <c r="K142" s="54">
        <v>7.9619999999999997</v>
      </c>
      <c r="L142" s="54"/>
      <c r="M142" s="32"/>
      <c r="N142" s="55"/>
      <c r="O142" s="55"/>
      <c r="P142" s="53" t="s">
        <v>315</v>
      </c>
      <c r="Q142" s="53" t="s">
        <v>62</v>
      </c>
      <c r="R142" s="56" t="s">
        <v>63</v>
      </c>
      <c r="S142" s="53" t="s">
        <v>62</v>
      </c>
      <c r="T142" s="54" t="s">
        <v>269</v>
      </c>
      <c r="U142" s="33"/>
    </row>
    <row r="143" spans="1:21" x14ac:dyDescent="0.25">
      <c r="A143" s="34"/>
      <c r="B143" s="25"/>
      <c r="C143" s="26" t="s">
        <v>46</v>
      </c>
      <c r="D143" s="25"/>
      <c r="E143" s="52" t="s">
        <v>183</v>
      </c>
      <c r="F143" s="53" t="s">
        <v>182</v>
      </c>
      <c r="G143" s="53" t="s">
        <v>62</v>
      </c>
      <c r="H143" s="53" t="s">
        <v>307</v>
      </c>
      <c r="I143" s="53"/>
      <c r="J143" s="54"/>
      <c r="K143" s="32">
        <v>0.17499999999999999</v>
      </c>
      <c r="L143" s="54"/>
      <c r="M143" s="32"/>
      <c r="N143" s="55"/>
      <c r="O143" s="55"/>
      <c r="P143" s="53" t="s">
        <v>317</v>
      </c>
      <c r="Q143" s="53" t="s">
        <v>62</v>
      </c>
      <c r="R143" s="56" t="s">
        <v>63</v>
      </c>
      <c r="S143" s="53" t="s">
        <v>62</v>
      </c>
      <c r="T143" s="54" t="s">
        <v>269</v>
      </c>
      <c r="U143" s="33"/>
    </row>
    <row r="144" spans="1:21" x14ac:dyDescent="0.25">
      <c r="A144" s="72"/>
      <c r="B144" s="73"/>
      <c r="C144" s="74"/>
      <c r="D144" s="73"/>
      <c r="E144" s="73"/>
      <c r="F144" s="75"/>
      <c r="G144" s="76"/>
      <c r="H144" s="76"/>
      <c r="I144" s="77"/>
      <c r="J144" s="72"/>
      <c r="K144" s="72"/>
      <c r="L144" s="72"/>
      <c r="M144" s="72"/>
      <c r="N144" s="72"/>
      <c r="O144" s="72"/>
      <c r="P144" s="72"/>
      <c r="Q144" s="72"/>
      <c r="R144" s="78"/>
      <c r="S144" s="78"/>
      <c r="T144" s="72"/>
      <c r="U144" s="72"/>
    </row>
    <row r="145" spans="1:21" x14ac:dyDescent="0.25">
      <c r="A145" s="32">
        <v>30</v>
      </c>
      <c r="B145" s="25"/>
      <c r="C145" s="25" t="s">
        <v>61</v>
      </c>
      <c r="D145" s="25" t="s">
        <v>86</v>
      </c>
      <c r="E145" s="52" t="s">
        <v>29</v>
      </c>
      <c r="F145" s="53" t="s">
        <v>205</v>
      </c>
      <c r="G145" s="53" t="s">
        <v>62</v>
      </c>
      <c r="H145" s="53">
        <v>46238</v>
      </c>
      <c r="I145" s="81"/>
      <c r="J145" s="32"/>
      <c r="K145" s="32">
        <v>140.399</v>
      </c>
      <c r="L145" s="32"/>
      <c r="M145" s="32"/>
      <c r="N145" s="32"/>
      <c r="O145" s="32"/>
      <c r="P145" s="32"/>
      <c r="Q145" s="32"/>
      <c r="R145" s="82" t="s">
        <v>424</v>
      </c>
      <c r="S145" s="82"/>
      <c r="T145" s="32" t="s">
        <v>13</v>
      </c>
      <c r="U145" s="32"/>
    </row>
    <row r="146" spans="1:21" x14ac:dyDescent="0.25">
      <c r="A146" s="72"/>
      <c r="B146" s="73"/>
      <c r="C146" s="74"/>
      <c r="D146" s="73"/>
      <c r="E146" s="73"/>
      <c r="F146" s="75"/>
      <c r="G146" s="76"/>
      <c r="H146" s="75"/>
      <c r="I146" s="77"/>
      <c r="J146" s="72"/>
      <c r="K146" s="72"/>
      <c r="L146" s="72"/>
      <c r="M146" s="72"/>
      <c r="N146" s="72"/>
      <c r="O146" s="72"/>
      <c r="P146" s="72"/>
      <c r="Q146" s="72"/>
      <c r="R146" s="78"/>
      <c r="S146" s="78"/>
      <c r="T146" s="72"/>
      <c r="U146" s="72"/>
    </row>
    <row r="147" spans="1:21" x14ac:dyDescent="0.25">
      <c r="A147" s="79">
        <v>31</v>
      </c>
      <c r="B147" s="25"/>
      <c r="C147" s="25" t="s">
        <v>54</v>
      </c>
      <c r="D147" s="25" t="s">
        <v>86</v>
      </c>
      <c r="E147" s="52" t="s">
        <v>29</v>
      </c>
      <c r="F147" s="53">
        <v>46057</v>
      </c>
      <c r="G147" s="53" t="s">
        <v>62</v>
      </c>
      <c r="H147" s="53" t="s">
        <v>195</v>
      </c>
      <c r="I147" s="81"/>
      <c r="J147" s="32"/>
      <c r="K147" s="32">
        <v>6.8170000000000002</v>
      </c>
      <c r="L147" s="32"/>
      <c r="M147" s="32"/>
      <c r="N147" s="32"/>
      <c r="O147" s="32"/>
      <c r="P147" s="32"/>
      <c r="Q147" s="113"/>
      <c r="R147" s="82" t="s">
        <v>16</v>
      </c>
      <c r="S147" s="82" t="s">
        <v>255</v>
      </c>
      <c r="T147" s="32" t="s">
        <v>254</v>
      </c>
      <c r="U147" s="79"/>
    </row>
    <row r="148" spans="1:21" x14ac:dyDescent="0.25">
      <c r="A148" s="79"/>
      <c r="B148" s="25"/>
      <c r="C148" s="25" t="s">
        <v>609</v>
      </c>
      <c r="D148" s="25"/>
      <c r="E148" s="52" t="s">
        <v>186</v>
      </c>
      <c r="F148" s="53">
        <v>46057</v>
      </c>
      <c r="G148" s="53" t="s">
        <v>62</v>
      </c>
      <c r="H148" s="53">
        <v>46027</v>
      </c>
      <c r="I148" s="81"/>
      <c r="J148" s="32"/>
      <c r="K148" s="32">
        <v>4.8689999999999998</v>
      </c>
      <c r="L148" s="32"/>
      <c r="M148" s="32"/>
      <c r="N148" s="32"/>
      <c r="O148" s="32"/>
      <c r="P148" s="53" t="s">
        <v>307</v>
      </c>
      <c r="Q148" s="53" t="s">
        <v>62</v>
      </c>
      <c r="R148" s="82" t="s">
        <v>16</v>
      </c>
      <c r="S148" s="82" t="s">
        <v>255</v>
      </c>
      <c r="T148" s="32" t="s">
        <v>254</v>
      </c>
      <c r="U148" s="79"/>
    </row>
    <row r="149" spans="1:21" x14ac:dyDescent="0.25">
      <c r="A149" s="79"/>
      <c r="B149" s="25"/>
      <c r="C149" s="25" t="s">
        <v>610</v>
      </c>
      <c r="D149" s="25"/>
      <c r="E149" s="52" t="s">
        <v>201</v>
      </c>
      <c r="F149" s="53">
        <v>46057</v>
      </c>
      <c r="G149" s="53" t="s">
        <v>62</v>
      </c>
      <c r="H149" s="53" t="s">
        <v>428</v>
      </c>
      <c r="I149" s="53">
        <v>46362</v>
      </c>
      <c r="J149" s="32"/>
      <c r="K149" s="32">
        <v>15.352</v>
      </c>
      <c r="L149" s="32"/>
      <c r="M149" s="32"/>
      <c r="N149" s="32"/>
      <c r="O149" s="32"/>
      <c r="P149" s="53" t="s">
        <v>428</v>
      </c>
      <c r="Q149" s="53" t="s">
        <v>62</v>
      </c>
      <c r="R149" s="82" t="s">
        <v>31</v>
      </c>
      <c r="S149" s="82" t="s">
        <v>255</v>
      </c>
      <c r="T149" s="32" t="s">
        <v>13</v>
      </c>
      <c r="U149" s="79"/>
    </row>
    <row r="150" spans="1:21" x14ac:dyDescent="0.25">
      <c r="A150" s="79"/>
      <c r="B150" s="25"/>
      <c r="C150" s="25" t="s">
        <v>611</v>
      </c>
      <c r="D150" s="25"/>
      <c r="E150" s="52" t="s">
        <v>140</v>
      </c>
      <c r="F150" s="53">
        <v>46057</v>
      </c>
      <c r="G150" s="53" t="s">
        <v>62</v>
      </c>
      <c r="H150" s="53" t="s">
        <v>490</v>
      </c>
      <c r="I150" s="53" t="s">
        <v>423</v>
      </c>
      <c r="J150" s="54"/>
      <c r="K150" s="32"/>
      <c r="L150" s="32"/>
      <c r="M150" s="32"/>
      <c r="N150" s="32"/>
      <c r="O150" s="32"/>
      <c r="P150" s="53" t="s">
        <v>431</v>
      </c>
      <c r="Q150" s="53" t="s">
        <v>62</v>
      </c>
      <c r="R150" s="82" t="s">
        <v>31</v>
      </c>
      <c r="S150" s="82" t="s">
        <v>255</v>
      </c>
      <c r="T150" s="54" t="s">
        <v>269</v>
      </c>
      <c r="U150" s="79"/>
    </row>
    <row r="151" spans="1:21" x14ac:dyDescent="0.25">
      <c r="A151" s="72"/>
      <c r="B151" s="73"/>
      <c r="C151" s="74"/>
      <c r="D151" s="73"/>
      <c r="E151" s="73"/>
      <c r="F151" s="75"/>
      <c r="G151" s="76"/>
      <c r="H151" s="77"/>
      <c r="I151" s="77"/>
      <c r="J151" s="72"/>
      <c r="K151" s="72"/>
      <c r="L151" s="72"/>
      <c r="M151" s="72"/>
      <c r="N151" s="72"/>
      <c r="O151" s="72"/>
      <c r="P151" s="72"/>
      <c r="Q151" s="72"/>
      <c r="R151" s="78"/>
      <c r="S151" s="78"/>
      <c r="T151" s="72"/>
      <c r="U151" s="72"/>
    </row>
    <row r="152" spans="1:21" x14ac:dyDescent="0.25">
      <c r="A152" s="32">
        <v>32</v>
      </c>
      <c r="B152" s="25"/>
      <c r="C152" s="25" t="s">
        <v>58</v>
      </c>
      <c r="D152" s="25" t="s">
        <v>86</v>
      </c>
      <c r="E152" s="52" t="s">
        <v>107</v>
      </c>
      <c r="F152" s="53">
        <v>46057</v>
      </c>
      <c r="G152" s="53" t="s">
        <v>62</v>
      </c>
      <c r="H152" s="53" t="s">
        <v>206</v>
      </c>
      <c r="I152" s="81"/>
      <c r="J152" s="32"/>
      <c r="K152" s="32">
        <v>22.417999999999999</v>
      </c>
      <c r="L152" s="32"/>
      <c r="M152" s="32"/>
      <c r="N152" s="32"/>
      <c r="O152" s="32"/>
      <c r="P152" s="32"/>
      <c r="Q152" s="32"/>
      <c r="R152" s="82" t="s">
        <v>31</v>
      </c>
      <c r="S152" s="82"/>
      <c r="T152" s="32" t="s">
        <v>13</v>
      </c>
      <c r="U152" s="32"/>
    </row>
    <row r="153" spans="1:21" x14ac:dyDescent="0.25">
      <c r="A153" s="32"/>
      <c r="B153" s="25"/>
      <c r="C153" s="25" t="s">
        <v>58</v>
      </c>
      <c r="D153" s="25"/>
      <c r="E153" s="52" t="s">
        <v>164</v>
      </c>
      <c r="F153" s="53">
        <v>46057</v>
      </c>
      <c r="G153" s="53" t="s">
        <v>62</v>
      </c>
      <c r="H153" s="53">
        <v>46118</v>
      </c>
      <c r="I153" s="81"/>
      <c r="J153" s="32"/>
      <c r="K153" s="32">
        <v>4.2060000000000004</v>
      </c>
      <c r="L153" s="32"/>
      <c r="M153" s="32"/>
      <c r="N153" s="32"/>
      <c r="O153" s="32"/>
      <c r="P153" s="53" t="s">
        <v>369</v>
      </c>
      <c r="Q153" s="53" t="s">
        <v>62</v>
      </c>
      <c r="R153" s="82" t="s">
        <v>63</v>
      </c>
      <c r="S153" s="53" t="s">
        <v>62</v>
      </c>
      <c r="T153" s="54" t="s">
        <v>269</v>
      </c>
      <c r="U153" s="32"/>
    </row>
    <row r="154" spans="1:21" x14ac:dyDescent="0.25">
      <c r="A154" s="32"/>
      <c r="B154" s="25"/>
      <c r="C154" s="25" t="s">
        <v>58</v>
      </c>
      <c r="D154" s="25"/>
      <c r="E154" s="52" t="s">
        <v>410</v>
      </c>
      <c r="F154" s="53">
        <v>46057</v>
      </c>
      <c r="G154" s="53" t="s">
        <v>62</v>
      </c>
      <c r="H154" s="53" t="s">
        <v>490</v>
      </c>
      <c r="I154" s="81"/>
      <c r="J154" s="32"/>
      <c r="K154" s="32">
        <v>11.164999999999999</v>
      </c>
      <c r="L154" s="32"/>
      <c r="M154" s="32"/>
      <c r="N154" s="32"/>
      <c r="O154" s="32"/>
      <c r="P154" s="53" t="s">
        <v>423</v>
      </c>
      <c r="Q154" s="53" t="s">
        <v>62</v>
      </c>
      <c r="R154" s="82" t="s">
        <v>28</v>
      </c>
      <c r="S154" s="53" t="s">
        <v>62</v>
      </c>
      <c r="T154" s="54" t="s">
        <v>269</v>
      </c>
      <c r="U154" s="32"/>
    </row>
    <row r="155" spans="1:21" x14ac:dyDescent="0.25">
      <c r="A155" s="32"/>
      <c r="B155" s="25"/>
      <c r="C155" s="25" t="s">
        <v>58</v>
      </c>
      <c r="D155" s="25"/>
      <c r="E155" s="52" t="s">
        <v>173</v>
      </c>
      <c r="F155" s="53">
        <v>46057</v>
      </c>
      <c r="G155" s="53" t="s">
        <v>62</v>
      </c>
      <c r="H155" s="53" t="s">
        <v>490</v>
      </c>
      <c r="I155" s="81"/>
      <c r="J155" s="32"/>
      <c r="K155" s="32">
        <v>3.2210000000000001</v>
      </c>
      <c r="L155" s="32"/>
      <c r="M155" s="32"/>
      <c r="N155" s="32"/>
      <c r="O155" s="32"/>
      <c r="P155" s="53" t="s">
        <v>432</v>
      </c>
      <c r="Q155" s="53" t="s">
        <v>62</v>
      </c>
      <c r="R155" s="82" t="s">
        <v>424</v>
      </c>
      <c r="S155" s="53" t="s">
        <v>62</v>
      </c>
      <c r="T155" s="54" t="s">
        <v>269</v>
      </c>
      <c r="U155" s="32"/>
    </row>
    <row r="156" spans="1:21" x14ac:dyDescent="0.25">
      <c r="A156" s="72"/>
      <c r="B156" s="74"/>
      <c r="C156" s="74"/>
      <c r="D156" s="73"/>
      <c r="E156" s="73"/>
      <c r="F156" s="75"/>
      <c r="G156" s="76"/>
      <c r="H156" s="77"/>
      <c r="I156" s="77"/>
      <c r="J156" s="72"/>
      <c r="K156" s="72"/>
      <c r="L156" s="72"/>
      <c r="M156" s="72"/>
      <c r="N156" s="72"/>
      <c r="O156" s="72"/>
      <c r="P156" s="72"/>
      <c r="Q156" s="72"/>
      <c r="R156" s="78"/>
      <c r="S156" s="78"/>
      <c r="T156" s="72"/>
      <c r="U156" s="72"/>
    </row>
    <row r="157" spans="1:21" x14ac:dyDescent="0.25">
      <c r="A157" s="32">
        <v>33</v>
      </c>
      <c r="B157" s="25"/>
      <c r="C157" s="25" t="s">
        <v>55</v>
      </c>
      <c r="D157" s="25" t="s">
        <v>86</v>
      </c>
      <c r="E157" s="52" t="s">
        <v>107</v>
      </c>
      <c r="F157" s="53">
        <v>46057</v>
      </c>
      <c r="G157" s="53" t="s">
        <v>62</v>
      </c>
      <c r="H157" s="53" t="s">
        <v>208</v>
      </c>
      <c r="I157" s="81"/>
      <c r="J157" s="32"/>
      <c r="K157" s="32">
        <v>16.271999999999998</v>
      </c>
      <c r="L157" s="32"/>
      <c r="M157" s="32"/>
      <c r="N157" s="32"/>
      <c r="O157" s="32"/>
      <c r="P157" s="32"/>
      <c r="Q157" s="32"/>
      <c r="R157" s="82" t="s">
        <v>33</v>
      </c>
      <c r="S157" s="82"/>
      <c r="T157" s="32" t="s">
        <v>13</v>
      </c>
      <c r="U157" s="32"/>
    </row>
    <row r="158" spans="1:21" x14ac:dyDescent="0.25">
      <c r="A158" s="32"/>
      <c r="B158" s="25"/>
      <c r="C158" s="25" t="s">
        <v>55</v>
      </c>
      <c r="D158" s="25"/>
      <c r="E158" s="52" t="s">
        <v>170</v>
      </c>
      <c r="F158" s="53">
        <v>46057</v>
      </c>
      <c r="G158" s="53" t="s">
        <v>62</v>
      </c>
      <c r="H158" s="53">
        <v>46158</v>
      </c>
      <c r="I158" s="81"/>
      <c r="J158" s="32"/>
      <c r="K158" s="32">
        <v>10.859</v>
      </c>
      <c r="L158" s="32"/>
      <c r="M158" s="32"/>
      <c r="N158" s="32"/>
      <c r="O158" s="32"/>
      <c r="P158" s="32"/>
      <c r="Q158" s="32"/>
      <c r="R158" s="82" t="s">
        <v>50</v>
      </c>
      <c r="S158" s="82"/>
      <c r="T158" s="32" t="s">
        <v>125</v>
      </c>
      <c r="U158" s="32"/>
    </row>
    <row r="159" spans="1:21" x14ac:dyDescent="0.25">
      <c r="A159" s="32"/>
      <c r="B159" s="25"/>
      <c r="C159" s="25" t="s">
        <v>55</v>
      </c>
      <c r="D159" s="25"/>
      <c r="E159" s="52" t="s">
        <v>183</v>
      </c>
      <c r="F159" s="53">
        <v>46057</v>
      </c>
      <c r="G159" s="53" t="s">
        <v>62</v>
      </c>
      <c r="H159" s="53">
        <v>46176</v>
      </c>
      <c r="I159" s="81"/>
      <c r="J159" s="32"/>
      <c r="K159" s="32"/>
      <c r="L159" s="32"/>
      <c r="M159" s="32"/>
      <c r="N159" s="32"/>
      <c r="O159" s="32"/>
      <c r="P159" s="32"/>
      <c r="Q159" s="32"/>
      <c r="R159" s="82" t="s">
        <v>50</v>
      </c>
      <c r="S159" s="82"/>
      <c r="T159" s="32" t="s">
        <v>125</v>
      </c>
      <c r="U159" s="32"/>
    </row>
    <row r="160" spans="1:21" x14ac:dyDescent="0.25">
      <c r="A160" s="72"/>
      <c r="B160" s="73"/>
      <c r="C160" s="74"/>
      <c r="D160" s="73"/>
      <c r="E160" s="73"/>
      <c r="F160" s="75"/>
      <c r="G160" s="76"/>
      <c r="H160" s="77"/>
      <c r="I160" s="77"/>
      <c r="J160" s="72"/>
      <c r="K160" s="72"/>
      <c r="L160" s="72"/>
      <c r="M160" s="72"/>
      <c r="N160" s="72"/>
      <c r="O160" s="72"/>
      <c r="P160" s="72"/>
      <c r="Q160" s="72"/>
      <c r="R160" s="78"/>
      <c r="S160" s="78"/>
      <c r="T160" s="72"/>
      <c r="U160" s="72"/>
    </row>
    <row r="161" spans="1:21" x14ac:dyDescent="0.25">
      <c r="A161" s="32">
        <v>34</v>
      </c>
      <c r="B161" s="25"/>
      <c r="C161" s="25" t="s">
        <v>228</v>
      </c>
      <c r="D161" s="25" t="s">
        <v>86</v>
      </c>
      <c r="E161" s="52" t="s">
        <v>107</v>
      </c>
      <c r="F161" s="53">
        <v>46085</v>
      </c>
      <c r="G161" s="53" t="s">
        <v>62</v>
      </c>
      <c r="H161" s="53">
        <v>46299</v>
      </c>
      <c r="I161" s="53"/>
      <c r="J161" s="54"/>
      <c r="K161" s="54">
        <v>1.04</v>
      </c>
      <c r="L161" s="54"/>
      <c r="M161" s="32"/>
      <c r="N161" s="32"/>
      <c r="O161" s="32"/>
      <c r="P161" s="32"/>
      <c r="Q161" s="32"/>
      <c r="R161" s="82" t="s">
        <v>31</v>
      </c>
      <c r="S161" s="82" t="s">
        <v>255</v>
      </c>
      <c r="T161" s="32" t="s">
        <v>13</v>
      </c>
      <c r="U161" s="84"/>
    </row>
    <row r="162" spans="1:21" x14ac:dyDescent="0.25">
      <c r="A162" s="32"/>
      <c r="B162" s="25"/>
      <c r="C162" s="25" t="s">
        <v>612</v>
      </c>
      <c r="D162" s="25"/>
      <c r="E162" s="52" t="s">
        <v>229</v>
      </c>
      <c r="F162" s="53">
        <v>46085</v>
      </c>
      <c r="G162" s="53" t="s">
        <v>62</v>
      </c>
      <c r="H162" s="53">
        <v>46299</v>
      </c>
      <c r="I162" s="53"/>
      <c r="J162" s="54"/>
      <c r="K162" s="54">
        <v>1.18</v>
      </c>
      <c r="L162" s="54"/>
      <c r="M162" s="54"/>
      <c r="N162" s="54"/>
      <c r="O162" s="54"/>
      <c r="P162" s="54"/>
      <c r="Q162" s="54"/>
      <c r="R162" s="82" t="s">
        <v>31</v>
      </c>
      <c r="S162" s="82" t="s">
        <v>255</v>
      </c>
      <c r="T162" s="54" t="s">
        <v>13</v>
      </c>
      <c r="U162" s="84"/>
    </row>
    <row r="163" spans="1:21" x14ac:dyDescent="0.25">
      <c r="A163" s="32"/>
      <c r="B163" s="25"/>
      <c r="C163" s="25" t="s">
        <v>613</v>
      </c>
      <c r="D163" s="25"/>
      <c r="E163" s="52" t="s">
        <v>219</v>
      </c>
      <c r="F163" s="53">
        <v>46085</v>
      </c>
      <c r="G163" s="53" t="s">
        <v>62</v>
      </c>
      <c r="H163" s="53">
        <v>46299</v>
      </c>
      <c r="I163" s="53"/>
      <c r="J163" s="54"/>
      <c r="K163" s="54">
        <v>1.26</v>
      </c>
      <c r="L163" s="54"/>
      <c r="M163" s="54"/>
      <c r="N163" s="54"/>
      <c r="O163" s="54"/>
      <c r="P163" s="54"/>
      <c r="Q163" s="54"/>
      <c r="R163" s="82" t="s">
        <v>31</v>
      </c>
      <c r="S163" s="82" t="s">
        <v>255</v>
      </c>
      <c r="T163" s="54" t="s">
        <v>13</v>
      </c>
      <c r="U163" s="84"/>
    </row>
    <row r="164" spans="1:21" x14ac:dyDescent="0.25">
      <c r="A164" s="32"/>
      <c r="B164" s="25"/>
      <c r="C164" s="25" t="s">
        <v>614</v>
      </c>
      <c r="D164" s="25"/>
      <c r="E164" s="52" t="s">
        <v>230</v>
      </c>
      <c r="F164" s="53">
        <v>46085</v>
      </c>
      <c r="G164" s="53" t="s">
        <v>62</v>
      </c>
      <c r="H164" s="53" t="s">
        <v>212</v>
      </c>
      <c r="I164" s="53"/>
      <c r="J164" s="54"/>
      <c r="K164" s="54">
        <v>1.02</v>
      </c>
      <c r="L164" s="54"/>
      <c r="M164" s="54"/>
      <c r="N164" s="54"/>
      <c r="O164" s="54"/>
      <c r="P164" s="54"/>
      <c r="Q164" s="54"/>
      <c r="R164" s="82" t="s">
        <v>16</v>
      </c>
      <c r="S164" s="82" t="s">
        <v>255</v>
      </c>
      <c r="T164" s="54" t="s">
        <v>269</v>
      </c>
      <c r="U164" s="84"/>
    </row>
    <row r="165" spans="1:21" x14ac:dyDescent="0.25">
      <c r="A165" s="32"/>
      <c r="B165" s="25"/>
      <c r="C165" s="25" t="s">
        <v>615</v>
      </c>
      <c r="D165" s="25"/>
      <c r="E165" s="52" t="s">
        <v>231</v>
      </c>
      <c r="F165" s="53">
        <v>46085</v>
      </c>
      <c r="G165" s="53" t="s">
        <v>62</v>
      </c>
      <c r="H165" s="53" t="s">
        <v>208</v>
      </c>
      <c r="I165" s="53"/>
      <c r="J165" s="54"/>
      <c r="K165" s="54">
        <v>1.69</v>
      </c>
      <c r="L165" s="54"/>
      <c r="M165" s="54"/>
      <c r="N165" s="54"/>
      <c r="O165" s="54"/>
      <c r="P165" s="54"/>
      <c r="Q165" s="54"/>
      <c r="R165" s="82" t="s">
        <v>16</v>
      </c>
      <c r="S165" s="107" t="s">
        <v>244</v>
      </c>
      <c r="T165" s="54" t="s">
        <v>125</v>
      </c>
      <c r="U165" s="84"/>
    </row>
    <row r="166" spans="1:21" x14ac:dyDescent="0.25">
      <c r="A166" s="72"/>
      <c r="B166" s="73"/>
      <c r="C166" s="74"/>
      <c r="D166" s="73"/>
      <c r="E166" s="73"/>
      <c r="F166" s="75"/>
      <c r="G166" s="76"/>
      <c r="H166" s="75"/>
      <c r="I166" s="77"/>
      <c r="J166" s="72"/>
      <c r="K166" s="72"/>
      <c r="L166" s="72"/>
      <c r="M166" s="72"/>
      <c r="N166" s="72"/>
      <c r="O166" s="72"/>
      <c r="P166" s="72"/>
      <c r="Q166" s="72"/>
      <c r="R166" s="78"/>
      <c r="S166" s="78"/>
      <c r="T166" s="72"/>
      <c r="U166" s="72"/>
    </row>
    <row r="167" spans="1:21" x14ac:dyDescent="0.25">
      <c r="A167" s="34">
        <v>35</v>
      </c>
      <c r="B167" s="25"/>
      <c r="C167" s="26" t="s">
        <v>280</v>
      </c>
      <c r="D167" s="25" t="s">
        <v>86</v>
      </c>
      <c r="E167" s="52" t="s">
        <v>282</v>
      </c>
      <c r="F167" s="53">
        <v>46207</v>
      </c>
      <c r="G167" s="53" t="s">
        <v>62</v>
      </c>
      <c r="H167" s="53" t="s">
        <v>198</v>
      </c>
      <c r="I167" s="53"/>
      <c r="J167" s="54"/>
      <c r="K167" s="54">
        <v>16.399999999999999</v>
      </c>
      <c r="L167" s="54"/>
      <c r="M167" s="32"/>
      <c r="N167" s="55"/>
      <c r="O167" s="55"/>
      <c r="P167" s="55"/>
      <c r="Q167" s="55"/>
      <c r="R167" s="56" t="s">
        <v>34</v>
      </c>
      <c r="S167" s="107" t="s">
        <v>244</v>
      </c>
      <c r="T167" s="32" t="s">
        <v>125</v>
      </c>
      <c r="U167" s="33"/>
    </row>
    <row r="168" spans="1:21" x14ac:dyDescent="0.25">
      <c r="A168" s="34"/>
      <c r="B168" s="25"/>
      <c r="C168" s="26" t="s">
        <v>616</v>
      </c>
      <c r="D168" s="25"/>
      <c r="E168" s="52" t="s">
        <v>281</v>
      </c>
      <c r="F168" s="53">
        <v>46207</v>
      </c>
      <c r="G168" s="53" t="s">
        <v>62</v>
      </c>
      <c r="H168" s="53">
        <v>46270</v>
      </c>
      <c r="I168" s="53"/>
      <c r="J168" s="32"/>
      <c r="K168" s="54">
        <v>26.760999999999999</v>
      </c>
      <c r="L168" s="54"/>
      <c r="M168" s="32"/>
      <c r="N168" s="55"/>
      <c r="O168" s="55"/>
      <c r="P168" s="55"/>
      <c r="Q168" s="55"/>
      <c r="R168" s="56" t="s">
        <v>35</v>
      </c>
      <c r="S168" s="82" t="s">
        <v>255</v>
      </c>
      <c r="T168" s="54" t="s">
        <v>269</v>
      </c>
      <c r="U168" s="33"/>
    </row>
    <row r="169" spans="1:21" x14ac:dyDescent="0.25">
      <c r="A169" s="72"/>
      <c r="B169" s="73"/>
      <c r="C169" s="59"/>
      <c r="D169" s="73"/>
      <c r="E169" s="73"/>
      <c r="F169" s="75"/>
      <c r="G169" s="76"/>
      <c r="H169" s="75"/>
      <c r="I169" s="77"/>
      <c r="J169" s="72"/>
      <c r="K169" s="72"/>
      <c r="L169" s="72"/>
      <c r="M169" s="72"/>
      <c r="N169" s="72"/>
      <c r="O169" s="72"/>
      <c r="P169" s="72"/>
      <c r="Q169" s="72"/>
      <c r="R169" s="78"/>
      <c r="S169" s="78"/>
      <c r="T169" s="72"/>
      <c r="U169" s="72"/>
    </row>
    <row r="170" spans="1:21" x14ac:dyDescent="0.25">
      <c r="A170" s="79">
        <v>36</v>
      </c>
      <c r="B170" s="25"/>
      <c r="C170" s="25" t="s">
        <v>56</v>
      </c>
      <c r="D170" s="25" t="s">
        <v>86</v>
      </c>
      <c r="E170" s="52" t="s">
        <v>107</v>
      </c>
      <c r="F170" s="53" t="s">
        <v>199</v>
      </c>
      <c r="G170" s="53" t="s">
        <v>62</v>
      </c>
      <c r="H170" s="53">
        <v>46147</v>
      </c>
      <c r="I170" s="53"/>
      <c r="J170" s="54"/>
      <c r="K170" s="54">
        <v>1.661</v>
      </c>
      <c r="L170" s="54"/>
      <c r="M170" s="32"/>
      <c r="N170" s="55"/>
      <c r="O170" s="55"/>
      <c r="P170" s="55"/>
      <c r="Q170" s="55"/>
      <c r="R170" s="56" t="s">
        <v>31</v>
      </c>
      <c r="S170" s="107" t="s">
        <v>244</v>
      </c>
      <c r="T170" s="56" t="s">
        <v>17</v>
      </c>
      <c r="U170" s="33"/>
    </row>
    <row r="171" spans="1:21" x14ac:dyDescent="0.25">
      <c r="A171" s="79"/>
      <c r="B171" s="25"/>
      <c r="C171" s="25" t="s">
        <v>56</v>
      </c>
      <c r="D171" s="26"/>
      <c r="E171" s="25" t="s">
        <v>200</v>
      </c>
      <c r="F171" s="53" t="s">
        <v>199</v>
      </c>
      <c r="G171" s="53" t="s">
        <v>62</v>
      </c>
      <c r="H171" s="53" t="s">
        <v>296</v>
      </c>
      <c r="I171" s="81"/>
      <c r="J171" s="32"/>
      <c r="K171" s="32">
        <v>2.4529999999999998</v>
      </c>
      <c r="L171" s="32"/>
      <c r="M171" s="32"/>
      <c r="N171" s="55"/>
      <c r="O171" s="55"/>
      <c r="P171" s="53" t="s">
        <v>315</v>
      </c>
      <c r="Q171" s="82" t="s">
        <v>255</v>
      </c>
      <c r="R171" s="56" t="s">
        <v>35</v>
      </c>
      <c r="S171" s="82" t="s">
        <v>255</v>
      </c>
      <c r="T171" s="54" t="s">
        <v>269</v>
      </c>
      <c r="U171" s="79"/>
    </row>
    <row r="172" spans="1:21" x14ac:dyDescent="0.25">
      <c r="A172" s="72"/>
      <c r="B172" s="73"/>
      <c r="C172" s="74"/>
      <c r="D172" s="73"/>
      <c r="E172" s="73"/>
      <c r="F172" s="75"/>
      <c r="G172" s="76"/>
      <c r="H172" s="77"/>
      <c r="I172" s="77"/>
      <c r="J172" s="72"/>
      <c r="K172" s="72"/>
      <c r="L172" s="72"/>
      <c r="M172" s="72"/>
      <c r="N172" s="72"/>
      <c r="O172" s="72"/>
      <c r="P172" s="72"/>
      <c r="Q172" s="72"/>
      <c r="R172" s="78"/>
      <c r="S172" s="78"/>
      <c r="T172" s="72"/>
      <c r="U172" s="72"/>
    </row>
    <row r="173" spans="1:21" x14ac:dyDescent="0.25">
      <c r="A173" s="32">
        <v>37</v>
      </c>
      <c r="B173" s="25"/>
      <c r="C173" s="25" t="s">
        <v>59</v>
      </c>
      <c r="D173" s="25" t="s">
        <v>86</v>
      </c>
      <c r="E173" s="52" t="s">
        <v>107</v>
      </c>
      <c r="F173" s="53" t="s">
        <v>199</v>
      </c>
      <c r="G173" s="53" t="s">
        <v>62</v>
      </c>
      <c r="H173" s="53" t="s">
        <v>206</v>
      </c>
      <c r="I173" s="81"/>
      <c r="J173" s="32"/>
      <c r="K173" s="32">
        <v>2.762</v>
      </c>
      <c r="L173" s="32"/>
      <c r="M173" s="32"/>
      <c r="N173" s="32"/>
      <c r="O173" s="32"/>
      <c r="P173" s="32"/>
      <c r="Q173" s="32"/>
      <c r="R173" s="82" t="s">
        <v>35</v>
      </c>
      <c r="S173" s="107" t="s">
        <v>244</v>
      </c>
      <c r="T173" s="32" t="s">
        <v>137</v>
      </c>
      <c r="U173" s="32"/>
    </row>
    <row r="174" spans="1:21" x14ac:dyDescent="0.25">
      <c r="A174" s="32"/>
      <c r="B174" s="25"/>
      <c r="C174" s="25" t="s">
        <v>617</v>
      </c>
      <c r="D174" s="25"/>
      <c r="E174" s="52" t="s">
        <v>158</v>
      </c>
      <c r="F174" s="53" t="s">
        <v>199</v>
      </c>
      <c r="G174" s="53" t="s">
        <v>62</v>
      </c>
      <c r="H174" s="53" t="s">
        <v>206</v>
      </c>
      <c r="I174" s="81"/>
      <c r="J174" s="32"/>
      <c r="K174" s="32">
        <v>1.2589999999999999</v>
      </c>
      <c r="L174" s="32"/>
      <c r="M174" s="32"/>
      <c r="N174" s="32"/>
      <c r="O174" s="32"/>
      <c r="P174" s="32"/>
      <c r="Q174" s="32"/>
      <c r="R174" s="82" t="s">
        <v>35</v>
      </c>
      <c r="S174" s="107" t="s">
        <v>244</v>
      </c>
      <c r="T174" s="32" t="s">
        <v>137</v>
      </c>
      <c r="U174" s="32"/>
    </row>
    <row r="175" spans="1:21" x14ac:dyDescent="0.25">
      <c r="A175" s="72"/>
      <c r="B175" s="73"/>
      <c r="C175" s="74"/>
      <c r="D175" s="73"/>
      <c r="E175" s="73"/>
      <c r="F175" s="75"/>
      <c r="G175" s="76"/>
      <c r="H175" s="75"/>
      <c r="I175" s="77"/>
      <c r="J175" s="72"/>
      <c r="K175" s="72"/>
      <c r="L175" s="72"/>
      <c r="M175" s="72"/>
      <c r="N175" s="72"/>
      <c r="O175" s="72"/>
      <c r="P175" s="72"/>
      <c r="Q175" s="72"/>
      <c r="R175" s="78"/>
      <c r="S175" s="78"/>
      <c r="T175" s="72"/>
      <c r="U175" s="72"/>
    </row>
    <row r="176" spans="1:21" x14ac:dyDescent="0.25">
      <c r="A176" s="34">
        <v>38</v>
      </c>
      <c r="B176" s="25"/>
      <c r="C176" s="26" t="s">
        <v>57</v>
      </c>
      <c r="D176" s="25" t="s">
        <v>86</v>
      </c>
      <c r="E176" s="52" t="s">
        <v>152</v>
      </c>
      <c r="F176" s="53" t="s">
        <v>195</v>
      </c>
      <c r="G176" s="53" t="s">
        <v>62</v>
      </c>
      <c r="H176" s="53" t="s">
        <v>368</v>
      </c>
      <c r="I176" s="53"/>
      <c r="J176" s="54"/>
      <c r="K176" s="32"/>
      <c r="L176" s="32"/>
      <c r="M176" s="32"/>
      <c r="N176" s="55"/>
      <c r="O176" s="55"/>
      <c r="P176" s="55"/>
      <c r="Q176" s="55"/>
      <c r="R176" s="56" t="s">
        <v>17</v>
      </c>
      <c r="S176" s="56"/>
      <c r="T176" s="32" t="s">
        <v>125</v>
      </c>
      <c r="U176" s="33"/>
    </row>
    <row r="177" spans="1:21" x14ac:dyDescent="0.25">
      <c r="A177" s="34"/>
      <c r="B177" s="25"/>
      <c r="C177" s="26" t="s">
        <v>618</v>
      </c>
      <c r="D177" s="25"/>
      <c r="E177" s="52" t="s">
        <v>150</v>
      </c>
      <c r="F177" s="53" t="s">
        <v>195</v>
      </c>
      <c r="G177" s="53" t="s">
        <v>62</v>
      </c>
      <c r="H177" s="53" t="s">
        <v>490</v>
      </c>
      <c r="I177" s="53"/>
      <c r="J177" s="54"/>
      <c r="K177" s="32"/>
      <c r="L177" s="32"/>
      <c r="M177" s="32"/>
      <c r="N177" s="55"/>
      <c r="O177" s="55"/>
      <c r="P177" s="55"/>
      <c r="Q177" s="55"/>
      <c r="R177" s="56" t="s">
        <v>33</v>
      </c>
      <c r="S177" s="56"/>
      <c r="T177" s="32" t="s">
        <v>125</v>
      </c>
      <c r="U177" s="33"/>
    </row>
    <row r="178" spans="1:21" x14ac:dyDescent="0.25">
      <c r="A178" s="34"/>
      <c r="B178" s="25"/>
      <c r="C178" s="26" t="s">
        <v>619</v>
      </c>
      <c r="D178" s="25"/>
      <c r="E178" s="52" t="s">
        <v>196</v>
      </c>
      <c r="F178" s="53" t="s">
        <v>195</v>
      </c>
      <c r="G178" s="53" t="s">
        <v>62</v>
      </c>
      <c r="H178" s="53" t="s">
        <v>490</v>
      </c>
      <c r="I178" s="53"/>
      <c r="J178" s="54"/>
      <c r="K178" s="32"/>
      <c r="L178" s="32"/>
      <c r="M178" s="32"/>
      <c r="N178" s="55"/>
      <c r="O178" s="55"/>
      <c r="P178" s="53" t="s">
        <v>432</v>
      </c>
      <c r="Q178" s="82" t="s">
        <v>255</v>
      </c>
      <c r="R178" s="56" t="s">
        <v>15</v>
      </c>
      <c r="S178" s="107" t="s">
        <v>244</v>
      </c>
      <c r="T178" s="32" t="s">
        <v>125</v>
      </c>
      <c r="U178" s="33"/>
    </row>
    <row r="179" spans="1:21" x14ac:dyDescent="0.25">
      <c r="A179" s="72"/>
      <c r="B179" s="73"/>
      <c r="C179" s="74"/>
      <c r="D179" s="73"/>
      <c r="E179" s="73"/>
      <c r="F179" s="75"/>
      <c r="G179" s="76"/>
      <c r="H179" s="77"/>
      <c r="I179" s="77"/>
      <c r="J179" s="72"/>
      <c r="K179" s="72"/>
      <c r="L179" s="72"/>
      <c r="M179" s="72"/>
      <c r="N179" s="72"/>
      <c r="O179" s="72"/>
      <c r="P179" s="72"/>
      <c r="Q179" s="72"/>
      <c r="R179" s="78"/>
      <c r="S179" s="78"/>
      <c r="T179" s="72"/>
      <c r="U179" s="72"/>
    </row>
    <row r="180" spans="1:21" x14ac:dyDescent="0.25">
      <c r="A180" s="32">
        <v>39</v>
      </c>
      <c r="B180" s="25"/>
      <c r="C180" s="25" t="s">
        <v>65</v>
      </c>
      <c r="D180" s="25" t="s">
        <v>86</v>
      </c>
      <c r="E180" s="52" t="s">
        <v>107</v>
      </c>
      <c r="F180" s="53" t="s">
        <v>212</v>
      </c>
      <c r="G180" s="53" t="s">
        <v>62</v>
      </c>
      <c r="H180" s="53" t="s">
        <v>206</v>
      </c>
      <c r="I180" s="81"/>
      <c r="J180" s="32"/>
      <c r="K180" s="32">
        <v>1.577</v>
      </c>
      <c r="L180" s="32"/>
      <c r="M180" s="32"/>
      <c r="N180" s="32"/>
      <c r="O180" s="32"/>
      <c r="P180" s="32"/>
      <c r="Q180" s="32"/>
      <c r="R180" s="56" t="s">
        <v>31</v>
      </c>
      <c r="S180" s="82" t="s">
        <v>255</v>
      </c>
      <c r="T180" s="32" t="s">
        <v>14</v>
      </c>
      <c r="U180" s="32"/>
    </row>
    <row r="181" spans="1:21" x14ac:dyDescent="0.25">
      <c r="A181" s="32"/>
      <c r="B181" s="25"/>
      <c r="C181" s="25" t="s">
        <v>65</v>
      </c>
      <c r="D181" s="25"/>
      <c r="E181" s="52" t="s">
        <v>170</v>
      </c>
      <c r="F181" s="53" t="s">
        <v>212</v>
      </c>
      <c r="G181" s="53" t="s">
        <v>62</v>
      </c>
      <c r="H181" s="53">
        <v>46027</v>
      </c>
      <c r="I181" s="81"/>
      <c r="J181" s="32"/>
      <c r="K181" s="32">
        <v>4.1070000000000002</v>
      </c>
      <c r="L181" s="32"/>
      <c r="M181" s="32"/>
      <c r="N181" s="32"/>
      <c r="O181" s="32"/>
      <c r="P181" s="32"/>
      <c r="Q181" s="32"/>
      <c r="R181" s="82" t="s">
        <v>213</v>
      </c>
      <c r="S181" s="107" t="s">
        <v>244</v>
      </c>
      <c r="T181" s="32" t="s">
        <v>313</v>
      </c>
      <c r="U181" s="32"/>
    </row>
    <row r="182" spans="1:21" x14ac:dyDescent="0.25">
      <c r="A182" s="72"/>
      <c r="B182" s="73"/>
      <c r="C182" s="74"/>
      <c r="D182" s="73"/>
      <c r="E182" s="73"/>
      <c r="F182" s="75"/>
      <c r="G182" s="76"/>
      <c r="H182" s="77"/>
      <c r="I182" s="77"/>
      <c r="J182" s="72"/>
      <c r="K182" s="72"/>
      <c r="L182" s="72"/>
      <c r="M182" s="72"/>
      <c r="N182" s="72"/>
      <c r="O182" s="72"/>
      <c r="P182" s="72"/>
      <c r="Q182" s="72"/>
      <c r="R182" s="78"/>
      <c r="S182" s="78"/>
      <c r="T182" s="72"/>
      <c r="U182" s="72"/>
    </row>
    <row r="183" spans="1:21" x14ac:dyDescent="0.25">
      <c r="A183" s="32">
        <v>40</v>
      </c>
      <c r="B183" s="25"/>
      <c r="C183" s="25" t="s">
        <v>66</v>
      </c>
      <c r="D183" s="25" t="s">
        <v>37</v>
      </c>
      <c r="E183" s="52" t="s">
        <v>210</v>
      </c>
      <c r="F183" s="53" t="s">
        <v>211</v>
      </c>
      <c r="G183" s="53" t="s">
        <v>62</v>
      </c>
      <c r="H183" s="53">
        <v>46148</v>
      </c>
      <c r="I183" s="81"/>
      <c r="J183" s="32"/>
      <c r="K183" s="32">
        <v>0.97799999999999998</v>
      </c>
      <c r="L183" s="32"/>
      <c r="M183" s="32"/>
      <c r="N183" s="32"/>
      <c r="O183" s="32"/>
      <c r="P183" s="32"/>
      <c r="Q183" s="32"/>
      <c r="R183" s="82" t="s">
        <v>252</v>
      </c>
      <c r="S183" s="107" t="s">
        <v>244</v>
      </c>
      <c r="T183" s="32" t="s">
        <v>14</v>
      </c>
      <c r="U183" s="32" t="s">
        <v>249</v>
      </c>
    </row>
    <row r="184" spans="1:21" x14ac:dyDescent="0.25">
      <c r="A184" s="32"/>
      <c r="B184" s="25"/>
      <c r="C184" s="25" t="s">
        <v>66</v>
      </c>
      <c r="D184" s="25"/>
      <c r="E184" s="52" t="s">
        <v>268</v>
      </c>
      <c r="F184" s="53" t="s">
        <v>211</v>
      </c>
      <c r="G184" s="53" t="s">
        <v>62</v>
      </c>
      <c r="H184" s="53">
        <v>46149</v>
      </c>
      <c r="I184" s="81"/>
      <c r="J184" s="32"/>
      <c r="K184" s="32"/>
      <c r="L184" s="32"/>
      <c r="M184" s="32"/>
      <c r="N184" s="32"/>
      <c r="O184" s="32"/>
      <c r="P184" s="32"/>
      <c r="Q184" s="32"/>
      <c r="R184" s="82" t="s">
        <v>252</v>
      </c>
      <c r="S184" s="82"/>
      <c r="T184" s="32" t="s">
        <v>313</v>
      </c>
      <c r="U184" s="32" t="s">
        <v>249</v>
      </c>
    </row>
    <row r="185" spans="1:21" x14ac:dyDescent="0.25">
      <c r="A185" s="72"/>
      <c r="B185" s="73"/>
      <c r="C185" s="74"/>
      <c r="D185" s="73"/>
      <c r="E185" s="73"/>
      <c r="F185" s="75"/>
      <c r="G185" s="76"/>
      <c r="H185" s="77"/>
      <c r="I185" s="77"/>
      <c r="J185" s="72"/>
      <c r="K185" s="72"/>
      <c r="L185" s="72"/>
      <c r="M185" s="72"/>
      <c r="N185" s="72"/>
      <c r="O185" s="72"/>
      <c r="P185" s="72"/>
      <c r="Q185" s="72"/>
      <c r="R185" s="78"/>
      <c r="S185" s="78"/>
      <c r="T185" s="72"/>
      <c r="U185" s="72"/>
    </row>
    <row r="186" spans="1:21" x14ac:dyDescent="0.25">
      <c r="A186" s="32">
        <v>41</v>
      </c>
      <c r="B186" s="25"/>
      <c r="C186" s="25" t="s">
        <v>232</v>
      </c>
      <c r="D186" s="25" t="s">
        <v>37</v>
      </c>
      <c r="E186" s="52" t="s">
        <v>233</v>
      </c>
      <c r="F186" s="53" t="s">
        <v>234</v>
      </c>
      <c r="G186" s="53" t="s">
        <v>62</v>
      </c>
      <c r="H186" s="53">
        <v>46157</v>
      </c>
      <c r="I186" s="81"/>
      <c r="J186" s="32"/>
      <c r="K186" s="32">
        <v>29.74</v>
      </c>
      <c r="L186" s="32"/>
      <c r="M186" s="32"/>
      <c r="N186" s="32"/>
      <c r="O186" s="32"/>
      <c r="P186" s="32"/>
      <c r="Q186" s="32"/>
      <c r="R186" s="82" t="s">
        <v>17</v>
      </c>
      <c r="S186" s="82"/>
      <c r="T186" s="32" t="s">
        <v>14</v>
      </c>
      <c r="U186" s="32" t="s">
        <v>249</v>
      </c>
    </row>
    <row r="187" spans="1:21" x14ac:dyDescent="0.25">
      <c r="A187" s="79"/>
      <c r="B187" s="83"/>
      <c r="C187" s="25" t="s">
        <v>232</v>
      </c>
      <c r="D187" s="83"/>
      <c r="E187" s="85" t="s">
        <v>318</v>
      </c>
      <c r="F187" s="53" t="s">
        <v>234</v>
      </c>
      <c r="G187" s="53" t="s">
        <v>62</v>
      </c>
      <c r="H187" s="53">
        <v>46174</v>
      </c>
      <c r="I187" s="111"/>
      <c r="J187" s="79"/>
      <c r="K187" s="79">
        <v>2.4500000000000002</v>
      </c>
      <c r="L187" s="79"/>
      <c r="M187" s="79"/>
      <c r="N187" s="79"/>
      <c r="O187" s="79"/>
      <c r="P187" s="53" t="s">
        <v>411</v>
      </c>
      <c r="Q187" s="82" t="s">
        <v>255</v>
      </c>
      <c r="R187" s="112" t="s">
        <v>35</v>
      </c>
      <c r="S187" s="82" t="s">
        <v>255</v>
      </c>
      <c r="T187" s="32" t="s">
        <v>313</v>
      </c>
      <c r="U187" s="79"/>
    </row>
    <row r="188" spans="1:21" x14ac:dyDescent="0.25">
      <c r="A188" s="72"/>
      <c r="B188" s="73"/>
      <c r="C188" s="74"/>
      <c r="D188" s="73"/>
      <c r="E188" s="73"/>
      <c r="F188" s="75"/>
      <c r="G188" s="76"/>
      <c r="H188" s="77"/>
      <c r="I188" s="77"/>
      <c r="J188" s="72"/>
      <c r="K188" s="72"/>
      <c r="L188" s="72"/>
      <c r="M188" s="72"/>
      <c r="N188" s="72"/>
      <c r="O188" s="72"/>
      <c r="P188" s="72"/>
      <c r="Q188" s="72"/>
      <c r="R188" s="78"/>
      <c r="S188" s="78"/>
      <c r="T188" s="72"/>
      <c r="U188" s="72"/>
    </row>
    <row r="189" spans="1:21" x14ac:dyDescent="0.25">
      <c r="A189" s="32">
        <v>42</v>
      </c>
      <c r="B189" s="25"/>
      <c r="C189" s="25" t="s">
        <v>265</v>
      </c>
      <c r="D189" s="25" t="s">
        <v>37</v>
      </c>
      <c r="E189" s="52" t="s">
        <v>266</v>
      </c>
      <c r="F189" s="53">
        <v>46178</v>
      </c>
      <c r="G189" s="53" t="s">
        <v>62</v>
      </c>
      <c r="H189" s="53">
        <v>46270</v>
      </c>
      <c r="I189" s="81"/>
      <c r="J189" s="32"/>
      <c r="K189" s="32"/>
      <c r="L189" s="32"/>
      <c r="M189" s="32"/>
      <c r="N189" s="32"/>
      <c r="O189" s="32"/>
      <c r="P189" s="32"/>
      <c r="Q189" s="32"/>
      <c r="R189" s="82" t="s">
        <v>35</v>
      </c>
      <c r="S189" s="82"/>
      <c r="T189" s="32" t="s">
        <v>125</v>
      </c>
      <c r="U189" s="32"/>
    </row>
    <row r="190" spans="1:21" x14ac:dyDescent="0.25">
      <c r="A190" s="72"/>
      <c r="B190" s="73"/>
      <c r="C190" s="74"/>
      <c r="D190" s="73"/>
      <c r="E190" s="73"/>
      <c r="F190" s="75"/>
      <c r="G190" s="76"/>
      <c r="H190" s="77"/>
      <c r="I190" s="77"/>
      <c r="J190" s="72"/>
      <c r="K190" s="72"/>
      <c r="L190" s="72"/>
      <c r="M190" s="72"/>
      <c r="N190" s="72"/>
      <c r="O190" s="72"/>
      <c r="P190" s="72"/>
      <c r="Q190" s="72"/>
      <c r="R190" s="78"/>
      <c r="S190" s="78"/>
      <c r="T190" s="72"/>
      <c r="U190" s="72"/>
    </row>
    <row r="191" spans="1:21" x14ac:dyDescent="0.25">
      <c r="A191" s="32">
        <v>43</v>
      </c>
      <c r="B191" s="25"/>
      <c r="C191" s="25" t="s">
        <v>271</v>
      </c>
      <c r="D191" s="25" t="s">
        <v>86</v>
      </c>
      <c r="E191" s="52" t="s">
        <v>107</v>
      </c>
      <c r="F191" s="53">
        <v>46239</v>
      </c>
      <c r="G191" s="53" t="s">
        <v>62</v>
      </c>
      <c r="H191" s="53" t="s">
        <v>296</v>
      </c>
      <c r="I191" s="81"/>
      <c r="J191" s="32"/>
      <c r="K191" s="32">
        <v>3.6909999999999998</v>
      </c>
      <c r="L191" s="32"/>
      <c r="M191" s="32"/>
      <c r="N191" s="32"/>
      <c r="O191" s="32"/>
      <c r="P191" s="53" t="s">
        <v>296</v>
      </c>
      <c r="Q191" s="82" t="s">
        <v>255</v>
      </c>
      <c r="R191" s="80" t="s">
        <v>31</v>
      </c>
      <c r="S191" s="82" t="s">
        <v>255</v>
      </c>
      <c r="T191" s="32" t="s">
        <v>14</v>
      </c>
      <c r="U191" s="32" t="s">
        <v>272</v>
      </c>
    </row>
    <row r="192" spans="1:21" x14ac:dyDescent="0.25">
      <c r="A192" s="32"/>
      <c r="B192" s="25"/>
      <c r="C192" s="25"/>
      <c r="D192" s="25"/>
      <c r="E192" s="52" t="s">
        <v>292</v>
      </c>
      <c r="F192" s="53">
        <v>46239</v>
      </c>
      <c r="G192" s="53" t="s">
        <v>62</v>
      </c>
      <c r="H192" s="53">
        <v>46148</v>
      </c>
      <c r="I192" s="81"/>
      <c r="J192" s="32"/>
      <c r="K192" s="32"/>
      <c r="L192" s="32"/>
      <c r="M192" s="32"/>
      <c r="N192" s="32"/>
      <c r="O192" s="32"/>
      <c r="P192" s="53">
        <v>46175</v>
      </c>
      <c r="Q192" s="82" t="s">
        <v>255</v>
      </c>
      <c r="R192" s="80" t="s">
        <v>31</v>
      </c>
      <c r="S192" s="117" t="s">
        <v>244</v>
      </c>
      <c r="T192" s="32" t="s">
        <v>313</v>
      </c>
      <c r="U192" s="32"/>
    </row>
    <row r="193" spans="1:21" x14ac:dyDescent="0.25">
      <c r="A193" s="72"/>
      <c r="B193" s="73"/>
      <c r="C193" s="74"/>
      <c r="D193" s="73"/>
      <c r="E193" s="73"/>
      <c r="F193" s="75"/>
      <c r="G193" s="76"/>
      <c r="H193" s="77"/>
      <c r="I193" s="77"/>
      <c r="J193" s="72"/>
      <c r="K193" s="72"/>
      <c r="L193" s="72"/>
      <c r="M193" s="72"/>
      <c r="N193" s="72"/>
      <c r="O193" s="72"/>
      <c r="P193" s="72"/>
      <c r="Q193" s="72"/>
      <c r="R193" s="78"/>
      <c r="S193" s="78"/>
      <c r="T193" s="72"/>
      <c r="U193" s="72"/>
    </row>
    <row r="194" spans="1:21" x14ac:dyDescent="0.25">
      <c r="A194" s="32">
        <v>44</v>
      </c>
      <c r="B194" s="25"/>
      <c r="C194" s="25" t="s">
        <v>290</v>
      </c>
      <c r="D194" s="25" t="s">
        <v>86</v>
      </c>
      <c r="E194" s="52" t="s">
        <v>29</v>
      </c>
      <c r="F194" s="53" t="s">
        <v>294</v>
      </c>
      <c r="G194" s="53" t="s">
        <v>62</v>
      </c>
      <c r="H194" s="53">
        <v>46148</v>
      </c>
      <c r="I194" s="81"/>
      <c r="J194" s="32"/>
      <c r="K194" s="32">
        <v>20.783999999999999</v>
      </c>
      <c r="L194" s="32"/>
      <c r="M194" s="32"/>
      <c r="N194" s="32"/>
      <c r="O194" s="32"/>
      <c r="P194" s="53" t="s">
        <v>431</v>
      </c>
      <c r="Q194" s="82" t="s">
        <v>255</v>
      </c>
      <c r="R194" s="82" t="s">
        <v>509</v>
      </c>
      <c r="S194" s="117" t="s">
        <v>244</v>
      </c>
      <c r="T194" s="32" t="s">
        <v>125</v>
      </c>
      <c r="U194" s="32"/>
    </row>
    <row r="195" spans="1:21" x14ac:dyDescent="0.25">
      <c r="A195" s="32"/>
      <c r="B195" s="25"/>
      <c r="C195" s="25" t="s">
        <v>620</v>
      </c>
      <c r="D195" s="25"/>
      <c r="E195" s="52" t="s">
        <v>53</v>
      </c>
      <c r="F195" s="53" t="s">
        <v>294</v>
      </c>
      <c r="G195" s="53" t="s">
        <v>62</v>
      </c>
      <c r="H195" s="53" t="s">
        <v>297</v>
      </c>
      <c r="I195" s="81"/>
      <c r="J195" s="32"/>
      <c r="K195" s="32"/>
      <c r="L195" s="32"/>
      <c r="M195" s="32"/>
      <c r="N195" s="32"/>
      <c r="O195" s="32"/>
      <c r="P195" s="53"/>
      <c r="Q195" s="82" t="s">
        <v>255</v>
      </c>
      <c r="R195" s="82" t="s">
        <v>111</v>
      </c>
      <c r="S195" s="82" t="s">
        <v>255</v>
      </c>
      <c r="T195" s="32" t="s">
        <v>14</v>
      </c>
      <c r="U195" s="32"/>
    </row>
    <row r="196" spans="1:21" x14ac:dyDescent="0.25">
      <c r="A196" s="32"/>
      <c r="B196" s="25"/>
      <c r="C196" s="25" t="s">
        <v>621</v>
      </c>
      <c r="D196" s="25"/>
      <c r="E196" s="52" t="s">
        <v>292</v>
      </c>
      <c r="F196" s="53" t="s">
        <v>294</v>
      </c>
      <c r="G196" s="88" t="s">
        <v>64</v>
      </c>
      <c r="H196" s="114" t="s">
        <v>497</v>
      </c>
      <c r="I196" s="81"/>
      <c r="J196" s="32"/>
      <c r="K196" s="32"/>
      <c r="L196" s="32"/>
      <c r="M196" s="32"/>
      <c r="N196" s="32"/>
      <c r="O196" s="32"/>
      <c r="P196" s="53">
        <v>46202</v>
      </c>
      <c r="Q196" s="82" t="s">
        <v>62</v>
      </c>
      <c r="R196" s="82" t="s">
        <v>16</v>
      </c>
      <c r="S196" s="82"/>
      <c r="T196" s="32" t="s">
        <v>313</v>
      </c>
      <c r="U196" s="32"/>
    </row>
    <row r="197" spans="1:21" x14ac:dyDescent="0.25">
      <c r="A197" s="32"/>
      <c r="B197" s="25"/>
      <c r="C197" s="25" t="s">
        <v>622</v>
      </c>
      <c r="D197" s="25"/>
      <c r="E197" s="52" t="s">
        <v>293</v>
      </c>
      <c r="F197" s="53" t="s">
        <v>294</v>
      </c>
      <c r="G197" s="88" t="s">
        <v>64</v>
      </c>
      <c r="H197" s="114" t="s">
        <v>430</v>
      </c>
      <c r="I197" s="81"/>
      <c r="J197" s="32"/>
      <c r="K197" s="32"/>
      <c r="L197" s="32"/>
      <c r="M197" s="32"/>
      <c r="N197" s="32"/>
      <c r="O197" s="32"/>
      <c r="P197" s="32"/>
      <c r="Q197" s="32"/>
      <c r="R197" s="82" t="s">
        <v>111</v>
      </c>
      <c r="S197" s="82"/>
      <c r="T197" s="32" t="s">
        <v>313</v>
      </c>
      <c r="U197" s="32"/>
    </row>
    <row r="198" spans="1:21" x14ac:dyDescent="0.25">
      <c r="A198" s="72"/>
      <c r="B198" s="73"/>
      <c r="C198" s="74"/>
      <c r="D198" s="73"/>
      <c r="E198" s="73"/>
      <c r="F198" s="75"/>
      <c r="G198" s="76"/>
      <c r="H198" s="77"/>
      <c r="I198" s="77"/>
      <c r="J198" s="72"/>
      <c r="K198" s="72"/>
      <c r="L198" s="72"/>
      <c r="M198" s="72"/>
      <c r="N198" s="72"/>
      <c r="O198" s="72"/>
      <c r="P198" s="72"/>
      <c r="Q198" s="72"/>
      <c r="R198" s="78"/>
      <c r="S198" s="78"/>
      <c r="T198" s="72"/>
      <c r="U198" s="72"/>
    </row>
    <row r="199" spans="1:21" x14ac:dyDescent="0.25">
      <c r="A199" s="32">
        <v>45</v>
      </c>
      <c r="B199" s="25"/>
      <c r="C199" s="25" t="s">
        <v>291</v>
      </c>
      <c r="D199" s="25" t="s">
        <v>86</v>
      </c>
      <c r="E199" s="52" t="s">
        <v>504</v>
      </c>
      <c r="F199" s="53" t="s">
        <v>295</v>
      </c>
      <c r="G199" s="88" t="s">
        <v>62</v>
      </c>
      <c r="H199" s="53" t="s">
        <v>423</v>
      </c>
      <c r="I199" s="81"/>
      <c r="J199" s="32"/>
      <c r="K199" s="32"/>
      <c r="L199" s="32"/>
      <c r="M199" s="32"/>
      <c r="N199" s="32"/>
      <c r="O199" s="32"/>
      <c r="P199" s="32"/>
      <c r="Q199" s="32"/>
      <c r="R199" s="82" t="s">
        <v>434</v>
      </c>
      <c r="S199" s="82"/>
      <c r="T199" s="32" t="s">
        <v>125</v>
      </c>
      <c r="U199" s="32"/>
    </row>
    <row r="200" spans="1:21" x14ac:dyDescent="0.25">
      <c r="A200" s="32"/>
      <c r="B200" s="25"/>
      <c r="C200" s="25" t="s">
        <v>623</v>
      </c>
      <c r="D200" s="25"/>
      <c r="E200" s="52" t="s">
        <v>503</v>
      </c>
      <c r="F200" s="53" t="s">
        <v>295</v>
      </c>
      <c r="G200" s="88" t="s">
        <v>62</v>
      </c>
      <c r="H200" s="53" t="s">
        <v>490</v>
      </c>
      <c r="I200" s="81"/>
      <c r="J200" s="32"/>
      <c r="K200" s="32"/>
      <c r="L200" s="32"/>
      <c r="M200" s="32"/>
      <c r="N200" s="32"/>
      <c r="O200" s="32"/>
      <c r="P200" s="32"/>
      <c r="Q200" s="32"/>
      <c r="R200" s="82" t="s">
        <v>111</v>
      </c>
      <c r="S200" s="82"/>
      <c r="T200" s="32" t="s">
        <v>14</v>
      </c>
      <c r="U200" s="79"/>
    </row>
    <row r="201" spans="1:21" x14ac:dyDescent="0.25">
      <c r="A201" s="32"/>
      <c r="B201" s="25"/>
      <c r="C201" s="25" t="s">
        <v>624</v>
      </c>
      <c r="D201" s="25"/>
      <c r="E201" s="52" t="s">
        <v>505</v>
      </c>
      <c r="F201" s="53" t="s">
        <v>295</v>
      </c>
      <c r="G201" s="88" t="s">
        <v>64</v>
      </c>
      <c r="H201" s="53" t="s">
        <v>298</v>
      </c>
      <c r="I201" s="81"/>
      <c r="J201" s="32"/>
      <c r="K201" s="32"/>
      <c r="L201" s="32"/>
      <c r="M201" s="32"/>
      <c r="N201" s="32"/>
      <c r="O201" s="32"/>
      <c r="P201" s="32"/>
      <c r="Q201" s="32"/>
      <c r="R201" s="82" t="s">
        <v>16</v>
      </c>
      <c r="S201" s="82"/>
      <c r="T201" s="32" t="s">
        <v>313</v>
      </c>
      <c r="U201" s="79"/>
    </row>
    <row r="202" spans="1:21" x14ac:dyDescent="0.25">
      <c r="A202" s="32"/>
      <c r="B202" s="25"/>
      <c r="C202" s="25" t="s">
        <v>625</v>
      </c>
      <c r="D202" s="25"/>
      <c r="E202" s="52" t="s">
        <v>436</v>
      </c>
      <c r="F202" s="53" t="s">
        <v>295</v>
      </c>
      <c r="G202" s="53" t="s">
        <v>184</v>
      </c>
      <c r="H202" s="53">
        <v>46088</v>
      </c>
      <c r="I202" s="81"/>
      <c r="J202" s="32"/>
      <c r="K202" s="32"/>
      <c r="L202" s="32"/>
      <c r="M202" s="32"/>
      <c r="N202" s="32"/>
      <c r="O202" s="32"/>
      <c r="P202" s="32"/>
      <c r="Q202" s="32"/>
      <c r="R202" s="82" t="s">
        <v>509</v>
      </c>
      <c r="S202" s="82"/>
      <c r="T202" s="32" t="s">
        <v>125</v>
      </c>
      <c r="U202" s="79"/>
    </row>
    <row r="203" spans="1:21" x14ac:dyDescent="0.25">
      <c r="A203" s="32"/>
      <c r="B203" s="25"/>
      <c r="C203" s="25" t="s">
        <v>626</v>
      </c>
      <c r="D203" s="25"/>
      <c r="E203" s="52" t="s">
        <v>437</v>
      </c>
      <c r="F203" s="53" t="s">
        <v>295</v>
      </c>
      <c r="G203" s="53" t="s">
        <v>184</v>
      </c>
      <c r="H203" s="53">
        <v>46088</v>
      </c>
      <c r="I203" s="81"/>
      <c r="J203" s="32"/>
      <c r="K203" s="32"/>
      <c r="L203" s="32"/>
      <c r="M203" s="32"/>
      <c r="N203" s="32"/>
      <c r="O203" s="32"/>
      <c r="P203" s="32"/>
      <c r="Q203" s="32"/>
      <c r="R203" s="82" t="s">
        <v>35</v>
      </c>
      <c r="S203" s="82"/>
      <c r="T203" s="32" t="s">
        <v>14</v>
      </c>
      <c r="U203" s="79"/>
    </row>
    <row r="204" spans="1:21" x14ac:dyDescent="0.25">
      <c r="A204" s="32"/>
      <c r="B204" s="25"/>
      <c r="C204" s="25" t="s">
        <v>627</v>
      </c>
      <c r="D204" s="25"/>
      <c r="E204" s="52" t="s">
        <v>438</v>
      </c>
      <c r="F204" s="53" t="s">
        <v>295</v>
      </c>
      <c r="G204" s="53" t="s">
        <v>184</v>
      </c>
      <c r="H204" s="53">
        <v>46089</v>
      </c>
      <c r="I204" s="81"/>
      <c r="J204" s="32"/>
      <c r="K204" s="32"/>
      <c r="L204" s="32"/>
      <c r="M204" s="32"/>
      <c r="N204" s="32"/>
      <c r="O204" s="32"/>
      <c r="P204" s="32"/>
      <c r="Q204" s="32"/>
      <c r="R204" s="56" t="s">
        <v>33</v>
      </c>
      <c r="S204" s="82"/>
      <c r="T204" s="32" t="s">
        <v>313</v>
      </c>
      <c r="U204" s="79"/>
    </row>
    <row r="205" spans="1:21" x14ac:dyDescent="0.25">
      <c r="A205" s="32"/>
      <c r="B205" s="25"/>
      <c r="C205" s="25" t="s">
        <v>628</v>
      </c>
      <c r="D205" s="25"/>
      <c r="E205" s="52" t="s">
        <v>328</v>
      </c>
      <c r="F205" s="53" t="s">
        <v>295</v>
      </c>
      <c r="G205" s="53" t="s">
        <v>184</v>
      </c>
      <c r="H205" s="53">
        <v>46090</v>
      </c>
      <c r="I205" s="81"/>
      <c r="J205" s="32"/>
      <c r="K205" s="32"/>
      <c r="L205" s="32"/>
      <c r="M205" s="32"/>
      <c r="N205" s="32"/>
      <c r="O205" s="32"/>
      <c r="P205" s="32"/>
      <c r="Q205" s="32"/>
      <c r="R205" s="56" t="s">
        <v>15</v>
      </c>
      <c r="S205" s="82"/>
      <c r="T205" s="32" t="s">
        <v>125</v>
      </c>
      <c r="U205" s="79"/>
    </row>
    <row r="206" spans="1:21" x14ac:dyDescent="0.25">
      <c r="A206" s="32"/>
      <c r="B206" s="25"/>
      <c r="C206" s="25" t="s">
        <v>629</v>
      </c>
      <c r="D206" s="25"/>
      <c r="E206" s="52" t="s">
        <v>442</v>
      </c>
      <c r="F206" s="53" t="s">
        <v>295</v>
      </c>
      <c r="G206" s="53" t="s">
        <v>184</v>
      </c>
      <c r="H206" s="53">
        <v>46091</v>
      </c>
      <c r="I206" s="81"/>
      <c r="J206" s="32"/>
      <c r="K206" s="32"/>
      <c r="L206" s="32"/>
      <c r="M206" s="32"/>
      <c r="N206" s="32"/>
      <c r="O206" s="32"/>
      <c r="P206" s="32"/>
      <c r="Q206" s="32"/>
      <c r="R206" s="82" t="s">
        <v>424</v>
      </c>
      <c r="S206" s="82"/>
      <c r="T206" s="32" t="s">
        <v>14</v>
      </c>
      <c r="U206" s="79"/>
    </row>
    <row r="207" spans="1:21" x14ac:dyDescent="0.25">
      <c r="A207" s="32"/>
      <c r="B207" s="25"/>
      <c r="C207" s="25" t="s">
        <v>630</v>
      </c>
      <c r="D207" s="25"/>
      <c r="E207" s="52" t="s">
        <v>439</v>
      </c>
      <c r="F207" s="53" t="s">
        <v>295</v>
      </c>
      <c r="G207" s="53" t="s">
        <v>184</v>
      </c>
      <c r="H207" s="53">
        <v>46092</v>
      </c>
      <c r="I207" s="81"/>
      <c r="J207" s="32"/>
      <c r="K207" s="32"/>
      <c r="L207" s="32"/>
      <c r="M207" s="32"/>
      <c r="N207" s="32"/>
      <c r="O207" s="32"/>
      <c r="P207" s="32"/>
      <c r="Q207" s="32"/>
      <c r="R207" s="82" t="s">
        <v>28</v>
      </c>
      <c r="S207" s="82"/>
      <c r="T207" s="32" t="s">
        <v>313</v>
      </c>
      <c r="U207" s="79"/>
    </row>
    <row r="208" spans="1:21" x14ac:dyDescent="0.25">
      <c r="A208" s="32"/>
      <c r="B208" s="25"/>
      <c r="C208" s="25" t="s">
        <v>631</v>
      </c>
      <c r="D208" s="25"/>
      <c r="E208" s="52" t="s">
        <v>440</v>
      </c>
      <c r="F208" s="53" t="s">
        <v>295</v>
      </c>
      <c r="G208" s="53" t="s">
        <v>184</v>
      </c>
      <c r="H208" s="53">
        <v>46093</v>
      </c>
      <c r="I208" s="81"/>
      <c r="J208" s="32"/>
      <c r="K208" s="32"/>
      <c r="L208" s="32"/>
      <c r="M208" s="32"/>
      <c r="N208" s="32"/>
      <c r="O208" s="32"/>
      <c r="P208" s="32"/>
      <c r="Q208" s="32"/>
      <c r="R208" s="82" t="s">
        <v>124</v>
      </c>
      <c r="S208" s="82"/>
      <c r="T208" s="32" t="s">
        <v>125</v>
      </c>
      <c r="U208" s="79"/>
    </row>
    <row r="209" spans="1:21" x14ac:dyDescent="0.25">
      <c r="A209" s="32"/>
      <c r="B209" s="25"/>
      <c r="C209" s="25" t="s">
        <v>632</v>
      </c>
      <c r="D209" s="25"/>
      <c r="E209" s="52" t="s">
        <v>329</v>
      </c>
      <c r="F209" s="53" t="s">
        <v>295</v>
      </c>
      <c r="G209" s="53" t="s">
        <v>184</v>
      </c>
      <c r="H209" s="53">
        <v>46094</v>
      </c>
      <c r="I209" s="81"/>
      <c r="J209" s="32"/>
      <c r="K209" s="32"/>
      <c r="L209" s="32"/>
      <c r="M209" s="32"/>
      <c r="N209" s="32"/>
      <c r="O209" s="32"/>
      <c r="P209" s="32"/>
      <c r="Q209" s="32"/>
      <c r="R209" s="82" t="s">
        <v>32</v>
      </c>
      <c r="S209" s="82"/>
      <c r="T209" s="32" t="s">
        <v>14</v>
      </c>
      <c r="U209" s="79"/>
    </row>
    <row r="210" spans="1:21" x14ac:dyDescent="0.25">
      <c r="A210" s="32"/>
      <c r="B210" s="25"/>
      <c r="C210" s="25" t="s">
        <v>633</v>
      </c>
      <c r="D210" s="25"/>
      <c r="E210" s="52" t="s">
        <v>441</v>
      </c>
      <c r="F210" s="53" t="s">
        <v>511</v>
      </c>
      <c r="G210" s="53" t="s">
        <v>184</v>
      </c>
      <c r="H210" s="53">
        <v>46095</v>
      </c>
      <c r="I210" s="81"/>
      <c r="J210" s="32"/>
      <c r="K210" s="32"/>
      <c r="L210" s="32"/>
      <c r="M210" s="32"/>
      <c r="N210" s="32"/>
      <c r="O210" s="32"/>
      <c r="P210" s="32"/>
      <c r="Q210" s="32"/>
      <c r="R210" s="82" t="s">
        <v>510</v>
      </c>
      <c r="S210" s="82"/>
      <c r="T210" s="32" t="s">
        <v>313</v>
      </c>
      <c r="U210" s="79"/>
    </row>
    <row r="211" spans="1:21" x14ac:dyDescent="0.25">
      <c r="A211" s="32"/>
      <c r="B211" s="25"/>
      <c r="C211" s="25" t="s">
        <v>634</v>
      </c>
      <c r="D211" s="25"/>
      <c r="E211" s="52" t="s">
        <v>444</v>
      </c>
      <c r="F211" s="53" t="s">
        <v>512</v>
      </c>
      <c r="G211" s="53" t="s">
        <v>184</v>
      </c>
      <c r="H211" s="53">
        <v>46096</v>
      </c>
      <c r="I211" s="81"/>
      <c r="J211" s="32"/>
      <c r="K211" s="32"/>
      <c r="L211" s="32"/>
      <c r="M211" s="32"/>
      <c r="N211" s="32"/>
      <c r="O211" s="32"/>
      <c r="P211" s="32"/>
      <c r="Q211" s="32"/>
      <c r="R211" s="82" t="s">
        <v>111</v>
      </c>
      <c r="S211" s="82"/>
      <c r="T211" s="32" t="s">
        <v>125</v>
      </c>
      <c r="U211" s="79"/>
    </row>
    <row r="212" spans="1:21" x14ac:dyDescent="0.25">
      <c r="A212" s="32"/>
      <c r="B212" s="25"/>
      <c r="C212" s="25" t="s">
        <v>635</v>
      </c>
      <c r="D212" s="25"/>
      <c r="E212" s="52" t="s">
        <v>443</v>
      </c>
      <c r="F212" s="53" t="s">
        <v>513</v>
      </c>
      <c r="G212" s="53" t="s">
        <v>184</v>
      </c>
      <c r="H212" s="53">
        <v>46097</v>
      </c>
      <c r="I212" s="81"/>
      <c r="J212" s="32"/>
      <c r="K212" s="32"/>
      <c r="L212" s="32"/>
      <c r="M212" s="32"/>
      <c r="N212" s="32"/>
      <c r="O212" s="32"/>
      <c r="P212" s="32"/>
      <c r="Q212" s="32"/>
      <c r="R212" s="82" t="s">
        <v>16</v>
      </c>
      <c r="S212" s="82"/>
      <c r="T212" s="32" t="s">
        <v>14</v>
      </c>
      <c r="U212" s="79"/>
    </row>
    <row r="213" spans="1:21" x14ac:dyDescent="0.25">
      <c r="A213" s="32"/>
      <c r="B213" s="25"/>
      <c r="C213" s="25" t="s">
        <v>636</v>
      </c>
      <c r="D213" s="25"/>
      <c r="E213" s="52" t="s">
        <v>329</v>
      </c>
      <c r="F213" s="53" t="s">
        <v>514</v>
      </c>
      <c r="G213" s="53" t="s">
        <v>184</v>
      </c>
      <c r="H213" s="53">
        <v>46098</v>
      </c>
      <c r="I213" s="81"/>
      <c r="J213" s="32"/>
      <c r="K213" s="32"/>
      <c r="L213" s="32"/>
      <c r="M213" s="32"/>
      <c r="N213" s="32"/>
      <c r="O213" s="32"/>
      <c r="P213" s="32"/>
      <c r="Q213" s="32"/>
      <c r="R213" s="82" t="s">
        <v>509</v>
      </c>
      <c r="S213" s="82"/>
      <c r="T213" s="32" t="s">
        <v>313</v>
      </c>
      <c r="U213" s="79"/>
    </row>
    <row r="214" spans="1:21" x14ac:dyDescent="0.25">
      <c r="A214" s="32"/>
      <c r="B214" s="25"/>
      <c r="C214" s="25" t="s">
        <v>637</v>
      </c>
      <c r="D214" s="25"/>
      <c r="E214" s="52" t="s">
        <v>445</v>
      </c>
      <c r="F214" s="53" t="s">
        <v>515</v>
      </c>
      <c r="G214" s="53" t="s">
        <v>184</v>
      </c>
      <c r="H214" s="53">
        <v>46099</v>
      </c>
      <c r="I214" s="81"/>
      <c r="J214" s="32"/>
      <c r="K214" s="32"/>
      <c r="L214" s="32"/>
      <c r="M214" s="32"/>
      <c r="N214" s="32"/>
      <c r="O214" s="32"/>
      <c r="P214" s="32"/>
      <c r="Q214" s="32"/>
      <c r="R214" s="82" t="s">
        <v>35</v>
      </c>
      <c r="S214" s="82"/>
      <c r="T214" s="32" t="s">
        <v>125</v>
      </c>
      <c r="U214" s="79"/>
    </row>
    <row r="215" spans="1:21" x14ac:dyDescent="0.25">
      <c r="A215" s="32"/>
      <c r="B215" s="25"/>
      <c r="C215" s="25" t="s">
        <v>638</v>
      </c>
      <c r="D215" s="25"/>
      <c r="E215" s="52" t="s">
        <v>446</v>
      </c>
      <c r="F215" s="53" t="s">
        <v>516</v>
      </c>
      <c r="G215" s="53" t="s">
        <v>184</v>
      </c>
      <c r="H215" s="53">
        <v>46100</v>
      </c>
      <c r="I215" s="81"/>
      <c r="J215" s="32"/>
      <c r="K215" s="32"/>
      <c r="L215" s="32"/>
      <c r="M215" s="32"/>
      <c r="N215" s="32"/>
      <c r="O215" s="32"/>
      <c r="P215" s="32"/>
      <c r="Q215" s="32"/>
      <c r="R215" s="56" t="s">
        <v>33</v>
      </c>
      <c r="S215" s="82"/>
      <c r="T215" s="32" t="s">
        <v>14</v>
      </c>
      <c r="U215" s="79"/>
    </row>
    <row r="216" spans="1:21" x14ac:dyDescent="0.25">
      <c r="A216" s="32"/>
      <c r="B216" s="25"/>
      <c r="C216" s="25" t="s">
        <v>639</v>
      </c>
      <c r="D216" s="25"/>
      <c r="E216" s="52" t="s">
        <v>447</v>
      </c>
      <c r="F216" s="53" t="s">
        <v>517</v>
      </c>
      <c r="G216" s="53" t="s">
        <v>184</v>
      </c>
      <c r="H216" s="53">
        <v>46101</v>
      </c>
      <c r="I216" s="81"/>
      <c r="J216" s="32"/>
      <c r="K216" s="32"/>
      <c r="L216" s="32"/>
      <c r="M216" s="32"/>
      <c r="N216" s="32"/>
      <c r="O216" s="32"/>
      <c r="P216" s="32"/>
      <c r="Q216" s="32"/>
      <c r="R216" s="56" t="s">
        <v>15</v>
      </c>
      <c r="S216" s="82"/>
      <c r="T216" s="32" t="s">
        <v>313</v>
      </c>
      <c r="U216" s="79"/>
    </row>
    <row r="217" spans="1:21" x14ac:dyDescent="0.25">
      <c r="A217" s="32"/>
      <c r="B217" s="25"/>
      <c r="C217" s="25" t="s">
        <v>640</v>
      </c>
      <c r="D217" s="25"/>
      <c r="E217" s="52" t="s">
        <v>330</v>
      </c>
      <c r="F217" s="53" t="s">
        <v>518</v>
      </c>
      <c r="G217" s="53" t="s">
        <v>184</v>
      </c>
      <c r="H217" s="53">
        <v>46102</v>
      </c>
      <c r="I217" s="81"/>
      <c r="J217" s="32"/>
      <c r="K217" s="32"/>
      <c r="L217" s="32"/>
      <c r="M217" s="32"/>
      <c r="N217" s="32"/>
      <c r="O217" s="32"/>
      <c r="P217" s="32"/>
      <c r="Q217" s="32"/>
      <c r="R217" s="82" t="s">
        <v>424</v>
      </c>
      <c r="S217" s="82"/>
      <c r="T217" s="32" t="s">
        <v>125</v>
      </c>
      <c r="U217" s="79"/>
    </row>
    <row r="218" spans="1:21" x14ac:dyDescent="0.25">
      <c r="A218" s="32"/>
      <c r="B218" s="25"/>
      <c r="C218" s="25" t="s">
        <v>641</v>
      </c>
      <c r="D218" s="25"/>
      <c r="E218" s="52" t="s">
        <v>448</v>
      </c>
      <c r="F218" s="53" t="s">
        <v>519</v>
      </c>
      <c r="G218" s="53" t="s">
        <v>184</v>
      </c>
      <c r="H218" s="53">
        <v>46103</v>
      </c>
      <c r="I218" s="81"/>
      <c r="J218" s="32"/>
      <c r="K218" s="32"/>
      <c r="L218" s="32"/>
      <c r="M218" s="32"/>
      <c r="N218" s="32"/>
      <c r="O218" s="32"/>
      <c r="P218" s="32"/>
      <c r="Q218" s="32"/>
      <c r="R218" s="82" t="s">
        <v>28</v>
      </c>
      <c r="S218" s="82"/>
      <c r="T218" s="32" t="s">
        <v>14</v>
      </c>
      <c r="U218" s="79"/>
    </row>
    <row r="219" spans="1:21" x14ac:dyDescent="0.25">
      <c r="A219" s="32"/>
      <c r="B219" s="25"/>
      <c r="C219" s="25" t="s">
        <v>642</v>
      </c>
      <c r="D219" s="25"/>
      <c r="E219" s="52" t="s">
        <v>449</v>
      </c>
      <c r="F219" s="53" t="s">
        <v>520</v>
      </c>
      <c r="G219" s="53" t="s">
        <v>184</v>
      </c>
      <c r="H219" s="53">
        <v>46104</v>
      </c>
      <c r="I219" s="81"/>
      <c r="J219" s="32"/>
      <c r="K219" s="32"/>
      <c r="L219" s="32"/>
      <c r="M219" s="32"/>
      <c r="N219" s="32"/>
      <c r="O219" s="32"/>
      <c r="P219" s="32"/>
      <c r="Q219" s="32"/>
      <c r="R219" s="82" t="s">
        <v>124</v>
      </c>
      <c r="S219" s="82"/>
      <c r="T219" s="32" t="s">
        <v>313</v>
      </c>
      <c r="U219" s="79"/>
    </row>
    <row r="220" spans="1:21" x14ac:dyDescent="0.25">
      <c r="A220" s="32"/>
      <c r="B220" s="25"/>
      <c r="C220" s="25" t="s">
        <v>643</v>
      </c>
      <c r="D220" s="25"/>
      <c r="E220" s="52" t="s">
        <v>450</v>
      </c>
      <c r="F220" s="53" t="s">
        <v>521</v>
      </c>
      <c r="G220" s="53" t="s">
        <v>184</v>
      </c>
      <c r="H220" s="53">
        <v>46105</v>
      </c>
      <c r="I220" s="81"/>
      <c r="J220" s="32"/>
      <c r="K220" s="32"/>
      <c r="L220" s="32"/>
      <c r="M220" s="32"/>
      <c r="N220" s="32"/>
      <c r="O220" s="32"/>
      <c r="P220" s="32"/>
      <c r="Q220" s="32"/>
      <c r="R220" s="82" t="s">
        <v>32</v>
      </c>
      <c r="S220" s="82"/>
      <c r="T220" s="32" t="s">
        <v>125</v>
      </c>
      <c r="U220" s="79"/>
    </row>
    <row r="221" spans="1:21" x14ac:dyDescent="0.25">
      <c r="A221" s="32"/>
      <c r="B221" s="25"/>
      <c r="C221" s="25" t="s">
        <v>644</v>
      </c>
      <c r="D221" s="25"/>
      <c r="E221" s="52" t="s">
        <v>331</v>
      </c>
      <c r="F221" s="53" t="s">
        <v>522</v>
      </c>
      <c r="G221" s="53" t="s">
        <v>184</v>
      </c>
      <c r="H221" s="53">
        <v>46106</v>
      </c>
      <c r="I221" s="81"/>
      <c r="J221" s="32"/>
      <c r="K221" s="32"/>
      <c r="L221" s="32"/>
      <c r="M221" s="32"/>
      <c r="N221" s="32"/>
      <c r="O221" s="32"/>
      <c r="P221" s="32"/>
      <c r="Q221" s="32"/>
      <c r="R221" s="82" t="s">
        <v>510</v>
      </c>
      <c r="S221" s="82"/>
      <c r="T221" s="32" t="s">
        <v>14</v>
      </c>
      <c r="U221" s="79"/>
    </row>
    <row r="222" spans="1:21" x14ac:dyDescent="0.25">
      <c r="A222" s="32"/>
      <c r="B222" s="25"/>
      <c r="C222" s="25" t="s">
        <v>645</v>
      </c>
      <c r="D222" s="25"/>
      <c r="E222" s="52" t="s">
        <v>451</v>
      </c>
      <c r="F222" s="53" t="s">
        <v>523</v>
      </c>
      <c r="G222" s="53" t="s">
        <v>184</v>
      </c>
      <c r="H222" s="53">
        <v>46107</v>
      </c>
      <c r="I222" s="81"/>
      <c r="J222" s="32"/>
      <c r="K222" s="32"/>
      <c r="L222" s="32"/>
      <c r="M222" s="32"/>
      <c r="N222" s="32"/>
      <c r="O222" s="32"/>
      <c r="P222" s="32"/>
      <c r="Q222" s="32"/>
      <c r="R222" s="82" t="s">
        <v>111</v>
      </c>
      <c r="S222" s="82"/>
      <c r="T222" s="32" t="s">
        <v>125</v>
      </c>
      <c r="U222" s="79"/>
    </row>
    <row r="223" spans="1:21" x14ac:dyDescent="0.25">
      <c r="A223" s="32"/>
      <c r="B223" s="25"/>
      <c r="C223" s="25" t="s">
        <v>646</v>
      </c>
      <c r="D223" s="25"/>
      <c r="E223" s="52" t="s">
        <v>452</v>
      </c>
      <c r="F223" s="53" t="s">
        <v>524</v>
      </c>
      <c r="G223" s="53" t="s">
        <v>184</v>
      </c>
      <c r="H223" s="53">
        <v>46108</v>
      </c>
      <c r="I223" s="81"/>
      <c r="J223" s="32"/>
      <c r="K223" s="32"/>
      <c r="L223" s="32"/>
      <c r="M223" s="32"/>
      <c r="N223" s="32"/>
      <c r="O223" s="32"/>
      <c r="P223" s="32"/>
      <c r="Q223" s="32"/>
      <c r="R223" s="82" t="s">
        <v>16</v>
      </c>
      <c r="S223" s="82"/>
      <c r="T223" s="32" t="s">
        <v>14</v>
      </c>
      <c r="U223" s="79"/>
    </row>
    <row r="224" spans="1:21" x14ac:dyDescent="0.25">
      <c r="A224" s="32"/>
      <c r="B224" s="25"/>
      <c r="C224" s="25" t="s">
        <v>647</v>
      </c>
      <c r="D224" s="25"/>
      <c r="E224" s="52" t="s">
        <v>453</v>
      </c>
      <c r="F224" s="53" t="s">
        <v>525</v>
      </c>
      <c r="G224" s="53" t="s">
        <v>184</v>
      </c>
      <c r="H224" s="53">
        <v>46109</v>
      </c>
      <c r="I224" s="81"/>
      <c r="J224" s="32"/>
      <c r="K224" s="32"/>
      <c r="L224" s="32"/>
      <c r="M224" s="32"/>
      <c r="N224" s="32"/>
      <c r="O224" s="32"/>
      <c r="P224" s="32"/>
      <c r="Q224" s="32"/>
      <c r="R224" s="82" t="s">
        <v>111</v>
      </c>
      <c r="S224" s="82"/>
      <c r="T224" s="32" t="s">
        <v>313</v>
      </c>
      <c r="U224" s="79"/>
    </row>
    <row r="225" spans="1:21" x14ac:dyDescent="0.25">
      <c r="A225" s="32"/>
      <c r="B225" s="25"/>
      <c r="C225" s="25" t="s">
        <v>648</v>
      </c>
      <c r="D225" s="25"/>
      <c r="E225" s="52" t="s">
        <v>332</v>
      </c>
      <c r="F225" s="53" t="s">
        <v>526</v>
      </c>
      <c r="G225" s="53" t="s">
        <v>184</v>
      </c>
      <c r="H225" s="53">
        <v>46110</v>
      </c>
      <c r="I225" s="81"/>
      <c r="J225" s="32"/>
      <c r="K225" s="32"/>
      <c r="L225" s="32"/>
      <c r="M225" s="32"/>
      <c r="N225" s="32"/>
      <c r="O225" s="32"/>
      <c r="P225" s="32"/>
      <c r="Q225" s="32"/>
      <c r="R225" s="82" t="s">
        <v>16</v>
      </c>
      <c r="S225" s="82"/>
      <c r="T225" s="32" t="s">
        <v>125</v>
      </c>
      <c r="U225" s="79"/>
    </row>
    <row r="226" spans="1:21" x14ac:dyDescent="0.25">
      <c r="A226" s="32"/>
      <c r="B226" s="25"/>
      <c r="C226" s="25" t="s">
        <v>649</v>
      </c>
      <c r="D226" s="25"/>
      <c r="E226" s="52" t="s">
        <v>454</v>
      </c>
      <c r="F226" s="53" t="s">
        <v>527</v>
      </c>
      <c r="G226" s="53" t="s">
        <v>184</v>
      </c>
      <c r="H226" s="53">
        <v>46111</v>
      </c>
      <c r="I226" s="81"/>
      <c r="J226" s="32"/>
      <c r="K226" s="32"/>
      <c r="L226" s="32"/>
      <c r="M226" s="32"/>
      <c r="N226" s="32"/>
      <c r="O226" s="32"/>
      <c r="P226" s="32"/>
      <c r="Q226" s="32"/>
      <c r="R226" s="82" t="s">
        <v>509</v>
      </c>
      <c r="S226" s="82"/>
      <c r="T226" s="32" t="s">
        <v>14</v>
      </c>
      <c r="U226" s="79"/>
    </row>
    <row r="227" spans="1:21" x14ac:dyDescent="0.25">
      <c r="A227" s="32"/>
      <c r="B227" s="25"/>
      <c r="C227" s="25" t="s">
        <v>650</v>
      </c>
      <c r="D227" s="25"/>
      <c r="E227" s="52" t="s">
        <v>455</v>
      </c>
      <c r="F227" s="53" t="s">
        <v>528</v>
      </c>
      <c r="G227" s="53" t="s">
        <v>184</v>
      </c>
      <c r="H227" s="53">
        <v>46112</v>
      </c>
      <c r="I227" s="81"/>
      <c r="J227" s="32"/>
      <c r="K227" s="32"/>
      <c r="L227" s="32"/>
      <c r="M227" s="32"/>
      <c r="N227" s="32"/>
      <c r="O227" s="32"/>
      <c r="P227" s="32"/>
      <c r="Q227" s="32"/>
      <c r="R227" s="82" t="s">
        <v>35</v>
      </c>
      <c r="S227" s="82"/>
      <c r="T227" s="32" t="s">
        <v>313</v>
      </c>
      <c r="U227" s="79"/>
    </row>
    <row r="228" spans="1:21" x14ac:dyDescent="0.25">
      <c r="A228" s="32"/>
      <c r="B228" s="25"/>
      <c r="C228" s="25" t="s">
        <v>651</v>
      </c>
      <c r="D228" s="25"/>
      <c r="E228" s="52" t="s">
        <v>456</v>
      </c>
      <c r="F228" s="53" t="s">
        <v>529</v>
      </c>
      <c r="G228" s="53" t="s">
        <v>184</v>
      </c>
      <c r="H228" s="53">
        <v>46113</v>
      </c>
      <c r="I228" s="81"/>
      <c r="J228" s="32"/>
      <c r="K228" s="32"/>
      <c r="L228" s="32"/>
      <c r="M228" s="32"/>
      <c r="N228" s="32"/>
      <c r="O228" s="32"/>
      <c r="P228" s="32"/>
      <c r="Q228" s="32"/>
      <c r="R228" s="56" t="s">
        <v>33</v>
      </c>
      <c r="S228" s="82"/>
      <c r="T228" s="32" t="s">
        <v>125</v>
      </c>
      <c r="U228" s="79"/>
    </row>
    <row r="229" spans="1:21" x14ac:dyDescent="0.25">
      <c r="A229" s="32"/>
      <c r="B229" s="25"/>
      <c r="C229" s="25" t="s">
        <v>652</v>
      </c>
      <c r="D229" s="25"/>
      <c r="E229" s="52" t="s">
        <v>333</v>
      </c>
      <c r="F229" s="53" t="s">
        <v>530</v>
      </c>
      <c r="G229" s="53" t="s">
        <v>184</v>
      </c>
      <c r="H229" s="53">
        <v>46114</v>
      </c>
      <c r="I229" s="81"/>
      <c r="J229" s="32"/>
      <c r="K229" s="32"/>
      <c r="L229" s="32"/>
      <c r="M229" s="32"/>
      <c r="N229" s="32"/>
      <c r="O229" s="32"/>
      <c r="P229" s="32"/>
      <c r="Q229" s="32"/>
      <c r="R229" s="56" t="s">
        <v>15</v>
      </c>
      <c r="S229" s="82"/>
      <c r="T229" s="32" t="s">
        <v>14</v>
      </c>
      <c r="U229" s="79"/>
    </row>
    <row r="230" spans="1:21" x14ac:dyDescent="0.25">
      <c r="A230" s="32"/>
      <c r="B230" s="25"/>
      <c r="C230" s="25" t="s">
        <v>653</v>
      </c>
      <c r="D230" s="25"/>
      <c r="E230" s="52" t="s">
        <v>457</v>
      </c>
      <c r="F230" s="53" t="s">
        <v>531</v>
      </c>
      <c r="G230" s="53" t="s">
        <v>184</v>
      </c>
      <c r="H230" s="53">
        <v>46115</v>
      </c>
      <c r="I230" s="81"/>
      <c r="J230" s="32"/>
      <c r="K230" s="32"/>
      <c r="L230" s="32"/>
      <c r="M230" s="32"/>
      <c r="N230" s="32"/>
      <c r="O230" s="32"/>
      <c r="P230" s="32"/>
      <c r="Q230" s="32"/>
      <c r="R230" s="82" t="s">
        <v>424</v>
      </c>
      <c r="S230" s="82"/>
      <c r="T230" s="32" t="s">
        <v>313</v>
      </c>
      <c r="U230" s="79"/>
    </row>
    <row r="231" spans="1:21" x14ac:dyDescent="0.25">
      <c r="A231" s="32"/>
      <c r="B231" s="25"/>
      <c r="C231" s="25" t="s">
        <v>654</v>
      </c>
      <c r="D231" s="25"/>
      <c r="E231" s="52" t="s">
        <v>458</v>
      </c>
      <c r="F231" s="53" t="s">
        <v>532</v>
      </c>
      <c r="G231" s="53" t="s">
        <v>184</v>
      </c>
      <c r="H231" s="53">
        <v>46116</v>
      </c>
      <c r="I231" s="81"/>
      <c r="J231" s="32"/>
      <c r="K231" s="32"/>
      <c r="L231" s="32"/>
      <c r="M231" s="32"/>
      <c r="N231" s="32"/>
      <c r="O231" s="32"/>
      <c r="P231" s="32"/>
      <c r="Q231" s="32"/>
      <c r="R231" s="82" t="s">
        <v>28</v>
      </c>
      <c r="S231" s="82"/>
      <c r="T231" s="32" t="s">
        <v>125</v>
      </c>
      <c r="U231" s="79"/>
    </row>
    <row r="232" spans="1:21" x14ac:dyDescent="0.25">
      <c r="A232" s="32"/>
      <c r="B232" s="25"/>
      <c r="C232" s="25" t="s">
        <v>655</v>
      </c>
      <c r="D232" s="25"/>
      <c r="E232" s="52" t="s">
        <v>459</v>
      </c>
      <c r="F232" s="53" t="s">
        <v>533</v>
      </c>
      <c r="G232" s="53" t="s">
        <v>184</v>
      </c>
      <c r="H232" s="53">
        <v>46117</v>
      </c>
      <c r="I232" s="81"/>
      <c r="J232" s="32"/>
      <c r="K232" s="32"/>
      <c r="L232" s="32"/>
      <c r="M232" s="32"/>
      <c r="N232" s="32"/>
      <c r="O232" s="32"/>
      <c r="P232" s="32"/>
      <c r="Q232" s="32"/>
      <c r="R232" s="82" t="s">
        <v>124</v>
      </c>
      <c r="S232" s="82"/>
      <c r="T232" s="32" t="s">
        <v>14</v>
      </c>
      <c r="U232" s="79"/>
    </row>
    <row r="233" spans="1:21" x14ac:dyDescent="0.25">
      <c r="A233" s="32"/>
      <c r="B233" s="25"/>
      <c r="C233" s="25" t="s">
        <v>656</v>
      </c>
      <c r="D233" s="25"/>
      <c r="E233" s="52" t="s">
        <v>334</v>
      </c>
      <c r="F233" s="53" t="s">
        <v>534</v>
      </c>
      <c r="G233" s="53" t="s">
        <v>184</v>
      </c>
      <c r="H233" s="53">
        <v>46118</v>
      </c>
      <c r="I233" s="81"/>
      <c r="J233" s="32"/>
      <c r="K233" s="32"/>
      <c r="L233" s="32"/>
      <c r="M233" s="32"/>
      <c r="N233" s="32"/>
      <c r="O233" s="32"/>
      <c r="P233" s="32"/>
      <c r="Q233" s="32"/>
      <c r="R233" s="82" t="s">
        <v>32</v>
      </c>
      <c r="S233" s="82"/>
      <c r="T233" s="32" t="s">
        <v>313</v>
      </c>
      <c r="U233" s="79"/>
    </row>
    <row r="234" spans="1:21" x14ac:dyDescent="0.25">
      <c r="A234" s="32"/>
      <c r="B234" s="25"/>
      <c r="C234" s="25" t="s">
        <v>657</v>
      </c>
      <c r="D234" s="25"/>
      <c r="E234" s="52" t="s">
        <v>460</v>
      </c>
      <c r="F234" s="53" t="s">
        <v>535</v>
      </c>
      <c r="G234" s="53" t="s">
        <v>184</v>
      </c>
      <c r="H234" s="53">
        <v>46119</v>
      </c>
      <c r="I234" s="81"/>
      <c r="J234" s="32"/>
      <c r="K234" s="32"/>
      <c r="L234" s="32"/>
      <c r="M234" s="32"/>
      <c r="N234" s="32"/>
      <c r="O234" s="32"/>
      <c r="P234" s="32"/>
      <c r="Q234" s="32"/>
      <c r="R234" s="82" t="s">
        <v>510</v>
      </c>
      <c r="S234" s="82"/>
      <c r="T234" s="32" t="s">
        <v>125</v>
      </c>
      <c r="U234" s="79"/>
    </row>
    <row r="235" spans="1:21" x14ac:dyDescent="0.25">
      <c r="A235" s="32"/>
      <c r="B235" s="25"/>
      <c r="C235" s="25" t="s">
        <v>658</v>
      </c>
      <c r="D235" s="25"/>
      <c r="E235" s="52" t="s">
        <v>461</v>
      </c>
      <c r="F235" s="53" t="s">
        <v>536</v>
      </c>
      <c r="G235" s="53" t="s">
        <v>184</v>
      </c>
      <c r="H235" s="53">
        <v>46120</v>
      </c>
      <c r="I235" s="81"/>
      <c r="J235" s="32"/>
      <c r="K235" s="32"/>
      <c r="L235" s="32"/>
      <c r="M235" s="32"/>
      <c r="N235" s="32"/>
      <c r="O235" s="32"/>
      <c r="P235" s="32"/>
      <c r="Q235" s="32"/>
      <c r="R235" s="82" t="s">
        <v>111</v>
      </c>
      <c r="S235" s="82"/>
      <c r="T235" s="32" t="s">
        <v>14</v>
      </c>
      <c r="U235" s="79"/>
    </row>
    <row r="236" spans="1:21" x14ac:dyDescent="0.25">
      <c r="A236" s="32"/>
      <c r="B236" s="25"/>
      <c r="C236" s="25" t="s">
        <v>659</v>
      </c>
      <c r="D236" s="25"/>
      <c r="E236" s="52" t="s">
        <v>462</v>
      </c>
      <c r="F236" s="53" t="s">
        <v>537</v>
      </c>
      <c r="G236" s="53" t="s">
        <v>184</v>
      </c>
      <c r="H236" s="53">
        <v>46121</v>
      </c>
      <c r="I236" s="81"/>
      <c r="J236" s="32"/>
      <c r="K236" s="32"/>
      <c r="L236" s="32"/>
      <c r="M236" s="32"/>
      <c r="N236" s="32"/>
      <c r="O236" s="32"/>
      <c r="P236" s="32"/>
      <c r="Q236" s="32"/>
      <c r="R236" s="82" t="s">
        <v>16</v>
      </c>
      <c r="S236" s="82"/>
      <c r="T236" s="32" t="s">
        <v>125</v>
      </c>
      <c r="U236" s="79"/>
    </row>
    <row r="237" spans="1:21" x14ac:dyDescent="0.25">
      <c r="A237" s="32"/>
      <c r="B237" s="25"/>
      <c r="C237" s="25" t="s">
        <v>660</v>
      </c>
      <c r="D237" s="25"/>
      <c r="E237" s="52" t="s">
        <v>335</v>
      </c>
      <c r="F237" s="53" t="s">
        <v>538</v>
      </c>
      <c r="G237" s="53" t="s">
        <v>184</v>
      </c>
      <c r="H237" s="53">
        <v>46122</v>
      </c>
      <c r="I237" s="81"/>
      <c r="J237" s="32"/>
      <c r="K237" s="32"/>
      <c r="L237" s="32"/>
      <c r="M237" s="32"/>
      <c r="N237" s="32"/>
      <c r="O237" s="32"/>
      <c r="P237" s="32"/>
      <c r="Q237" s="32"/>
      <c r="R237" s="82" t="s">
        <v>509</v>
      </c>
      <c r="S237" s="82"/>
      <c r="T237" s="32" t="s">
        <v>14</v>
      </c>
      <c r="U237" s="79"/>
    </row>
    <row r="238" spans="1:21" x14ac:dyDescent="0.25">
      <c r="A238" s="32"/>
      <c r="B238" s="25"/>
      <c r="C238" s="25" t="s">
        <v>661</v>
      </c>
      <c r="D238" s="25"/>
      <c r="E238" s="52" t="s">
        <v>463</v>
      </c>
      <c r="F238" s="53" t="s">
        <v>539</v>
      </c>
      <c r="G238" s="53" t="s">
        <v>184</v>
      </c>
      <c r="H238" s="53">
        <v>46123</v>
      </c>
      <c r="I238" s="81"/>
      <c r="J238" s="32"/>
      <c r="K238" s="32"/>
      <c r="L238" s="32"/>
      <c r="M238" s="32"/>
      <c r="N238" s="32"/>
      <c r="O238" s="32"/>
      <c r="P238" s="32"/>
      <c r="Q238" s="32"/>
      <c r="R238" s="82" t="s">
        <v>35</v>
      </c>
      <c r="S238" s="82"/>
      <c r="T238" s="32" t="s">
        <v>313</v>
      </c>
      <c r="U238" s="79"/>
    </row>
    <row r="239" spans="1:21" x14ac:dyDescent="0.25">
      <c r="A239" s="32"/>
      <c r="B239" s="25"/>
      <c r="C239" s="25" t="s">
        <v>662</v>
      </c>
      <c r="D239" s="25"/>
      <c r="E239" s="52" t="s">
        <v>464</v>
      </c>
      <c r="F239" s="53" t="s">
        <v>540</v>
      </c>
      <c r="G239" s="53" t="s">
        <v>184</v>
      </c>
      <c r="H239" s="53">
        <v>46124</v>
      </c>
      <c r="I239" s="81"/>
      <c r="J239" s="32"/>
      <c r="K239" s="32"/>
      <c r="L239" s="32"/>
      <c r="M239" s="32"/>
      <c r="N239" s="32"/>
      <c r="O239" s="32"/>
      <c r="P239" s="32"/>
      <c r="Q239" s="32"/>
      <c r="R239" s="82" t="s">
        <v>111</v>
      </c>
      <c r="S239" s="82"/>
      <c r="T239" s="32" t="s">
        <v>125</v>
      </c>
      <c r="U239" s="79"/>
    </row>
    <row r="240" spans="1:21" x14ac:dyDescent="0.25">
      <c r="A240" s="32"/>
      <c r="B240" s="25"/>
      <c r="C240" s="25" t="s">
        <v>663</v>
      </c>
      <c r="D240" s="25"/>
      <c r="E240" s="52" t="s">
        <v>465</v>
      </c>
      <c r="F240" s="53" t="s">
        <v>541</v>
      </c>
      <c r="G240" s="53" t="s">
        <v>184</v>
      </c>
      <c r="H240" s="53">
        <v>46125</v>
      </c>
      <c r="I240" s="81"/>
      <c r="J240" s="32"/>
      <c r="K240" s="32"/>
      <c r="L240" s="32"/>
      <c r="M240" s="32"/>
      <c r="N240" s="32"/>
      <c r="O240" s="32"/>
      <c r="P240" s="32"/>
      <c r="Q240" s="32"/>
      <c r="R240" s="82" t="s">
        <v>16</v>
      </c>
      <c r="S240" s="82"/>
      <c r="T240" s="32" t="s">
        <v>14</v>
      </c>
      <c r="U240" s="79"/>
    </row>
    <row r="241" spans="1:21" x14ac:dyDescent="0.25">
      <c r="A241" s="32"/>
      <c r="B241" s="25"/>
      <c r="C241" s="25" t="s">
        <v>664</v>
      </c>
      <c r="D241" s="25"/>
      <c r="E241" s="52" t="s">
        <v>336</v>
      </c>
      <c r="F241" s="53" t="s">
        <v>542</v>
      </c>
      <c r="G241" s="53" t="s">
        <v>184</v>
      </c>
      <c r="H241" s="53">
        <v>46126</v>
      </c>
      <c r="I241" s="81"/>
      <c r="J241" s="32"/>
      <c r="K241" s="32"/>
      <c r="L241" s="32"/>
      <c r="M241" s="32"/>
      <c r="N241" s="32"/>
      <c r="O241" s="32"/>
      <c r="P241" s="32"/>
      <c r="Q241" s="32"/>
      <c r="R241" s="82" t="s">
        <v>509</v>
      </c>
      <c r="S241" s="82"/>
      <c r="T241" s="32" t="s">
        <v>313</v>
      </c>
      <c r="U241" s="79"/>
    </row>
    <row r="242" spans="1:21" x14ac:dyDescent="0.25">
      <c r="A242" s="32"/>
      <c r="B242" s="25"/>
      <c r="C242" s="25" t="s">
        <v>665</v>
      </c>
      <c r="D242" s="25"/>
      <c r="E242" s="52" t="s">
        <v>466</v>
      </c>
      <c r="F242" s="53" t="s">
        <v>543</v>
      </c>
      <c r="G242" s="53" t="s">
        <v>184</v>
      </c>
      <c r="H242" s="53">
        <v>46127</v>
      </c>
      <c r="I242" s="81"/>
      <c r="J242" s="32"/>
      <c r="K242" s="32"/>
      <c r="L242" s="32"/>
      <c r="M242" s="32"/>
      <c r="N242" s="32"/>
      <c r="O242" s="32"/>
      <c r="P242" s="32"/>
      <c r="Q242" s="32"/>
      <c r="R242" s="82" t="s">
        <v>35</v>
      </c>
      <c r="S242" s="82"/>
      <c r="T242" s="32" t="s">
        <v>125</v>
      </c>
      <c r="U242" s="79"/>
    </row>
    <row r="243" spans="1:21" x14ac:dyDescent="0.25">
      <c r="A243" s="32"/>
      <c r="B243" s="25"/>
      <c r="C243" s="25" t="s">
        <v>666</v>
      </c>
      <c r="D243" s="25"/>
      <c r="E243" s="52" t="s">
        <v>467</v>
      </c>
      <c r="F243" s="53" t="s">
        <v>544</v>
      </c>
      <c r="G243" s="53" t="s">
        <v>184</v>
      </c>
      <c r="H243" s="53">
        <v>46128</v>
      </c>
      <c r="I243" s="81"/>
      <c r="J243" s="32"/>
      <c r="K243" s="32"/>
      <c r="L243" s="32"/>
      <c r="M243" s="32"/>
      <c r="N243" s="32"/>
      <c r="O243" s="32"/>
      <c r="P243" s="32"/>
      <c r="Q243" s="32"/>
      <c r="R243" s="56" t="s">
        <v>33</v>
      </c>
      <c r="S243" s="82"/>
      <c r="T243" s="32" t="s">
        <v>14</v>
      </c>
      <c r="U243" s="79"/>
    </row>
    <row r="244" spans="1:21" x14ac:dyDescent="0.25">
      <c r="A244" s="32"/>
      <c r="B244" s="25"/>
      <c r="C244" s="25" t="s">
        <v>667</v>
      </c>
      <c r="D244" s="25"/>
      <c r="E244" s="52" t="s">
        <v>468</v>
      </c>
      <c r="F244" s="53" t="s">
        <v>545</v>
      </c>
      <c r="G244" s="53" t="s">
        <v>184</v>
      </c>
      <c r="H244" s="53">
        <v>46129</v>
      </c>
      <c r="I244" s="81"/>
      <c r="J244" s="32"/>
      <c r="K244" s="32"/>
      <c r="L244" s="32"/>
      <c r="M244" s="32"/>
      <c r="N244" s="32"/>
      <c r="O244" s="32"/>
      <c r="P244" s="32"/>
      <c r="Q244" s="32"/>
      <c r="R244" s="56" t="s">
        <v>15</v>
      </c>
      <c r="S244" s="82"/>
      <c r="T244" s="32" t="s">
        <v>313</v>
      </c>
      <c r="U244" s="79"/>
    </row>
    <row r="245" spans="1:21" x14ac:dyDescent="0.25">
      <c r="A245" s="32"/>
      <c r="B245" s="25"/>
      <c r="C245" s="25" t="s">
        <v>668</v>
      </c>
      <c r="D245" s="25"/>
      <c r="E245" s="52" t="s">
        <v>337</v>
      </c>
      <c r="F245" s="53" t="s">
        <v>546</v>
      </c>
      <c r="G245" s="53" t="s">
        <v>184</v>
      </c>
      <c r="H245" s="53">
        <v>46130</v>
      </c>
      <c r="I245" s="81"/>
      <c r="J245" s="32"/>
      <c r="K245" s="32"/>
      <c r="L245" s="32"/>
      <c r="M245" s="32"/>
      <c r="N245" s="32"/>
      <c r="O245" s="32"/>
      <c r="P245" s="32"/>
      <c r="Q245" s="32"/>
      <c r="R245" s="82" t="s">
        <v>424</v>
      </c>
      <c r="S245" s="82"/>
      <c r="T245" s="32" t="s">
        <v>125</v>
      </c>
      <c r="U245" s="79"/>
    </row>
    <row r="246" spans="1:21" x14ac:dyDescent="0.25">
      <c r="A246" s="32"/>
      <c r="B246" s="25"/>
      <c r="C246" s="25" t="s">
        <v>669</v>
      </c>
      <c r="D246" s="25"/>
      <c r="E246" s="52" t="s">
        <v>469</v>
      </c>
      <c r="F246" s="53" t="s">
        <v>547</v>
      </c>
      <c r="G246" s="53" t="s">
        <v>184</v>
      </c>
      <c r="H246" s="53">
        <v>46131</v>
      </c>
      <c r="I246" s="81"/>
      <c r="J246" s="32"/>
      <c r="K246" s="32"/>
      <c r="L246" s="32"/>
      <c r="M246" s="32"/>
      <c r="N246" s="32"/>
      <c r="O246" s="32"/>
      <c r="P246" s="32"/>
      <c r="Q246" s="32"/>
      <c r="R246" s="82" t="s">
        <v>28</v>
      </c>
      <c r="S246" s="82"/>
      <c r="T246" s="32" t="s">
        <v>14</v>
      </c>
      <c r="U246" s="79"/>
    </row>
    <row r="247" spans="1:21" x14ac:dyDescent="0.25">
      <c r="A247" s="32"/>
      <c r="B247" s="25"/>
      <c r="C247" s="25" t="s">
        <v>670</v>
      </c>
      <c r="D247" s="25"/>
      <c r="E247" s="52" t="s">
        <v>470</v>
      </c>
      <c r="F247" s="53" t="s">
        <v>548</v>
      </c>
      <c r="G247" s="53" t="s">
        <v>184</v>
      </c>
      <c r="H247" s="53">
        <v>46132</v>
      </c>
      <c r="I247" s="81"/>
      <c r="J247" s="32"/>
      <c r="K247" s="32"/>
      <c r="L247" s="32"/>
      <c r="M247" s="32"/>
      <c r="N247" s="32"/>
      <c r="O247" s="32"/>
      <c r="P247" s="32"/>
      <c r="Q247" s="32"/>
      <c r="R247" s="82" t="s">
        <v>124</v>
      </c>
      <c r="S247" s="82"/>
      <c r="T247" s="32" t="s">
        <v>125</v>
      </c>
      <c r="U247" s="79"/>
    </row>
    <row r="248" spans="1:21" x14ac:dyDescent="0.25">
      <c r="A248" s="32"/>
      <c r="B248" s="25"/>
      <c r="C248" s="25" t="s">
        <v>671</v>
      </c>
      <c r="D248" s="25"/>
      <c r="E248" s="52" t="s">
        <v>471</v>
      </c>
      <c r="F248" s="53" t="s">
        <v>549</v>
      </c>
      <c r="G248" s="53" t="s">
        <v>184</v>
      </c>
      <c r="H248" s="53">
        <v>46133</v>
      </c>
      <c r="I248" s="81"/>
      <c r="J248" s="32"/>
      <c r="K248" s="32"/>
      <c r="L248" s="32"/>
      <c r="M248" s="32"/>
      <c r="N248" s="32"/>
      <c r="O248" s="32"/>
      <c r="P248" s="32"/>
      <c r="Q248" s="32"/>
      <c r="R248" s="82" t="s">
        <v>32</v>
      </c>
      <c r="S248" s="82"/>
      <c r="T248" s="32" t="s">
        <v>14</v>
      </c>
      <c r="U248" s="79"/>
    </row>
    <row r="249" spans="1:21" x14ac:dyDescent="0.25">
      <c r="A249" s="32"/>
      <c r="B249" s="25"/>
      <c r="C249" s="25" t="s">
        <v>672</v>
      </c>
      <c r="D249" s="25"/>
      <c r="E249" s="52" t="s">
        <v>338</v>
      </c>
      <c r="F249" s="53" t="s">
        <v>550</v>
      </c>
      <c r="G249" s="53" t="s">
        <v>184</v>
      </c>
      <c r="H249" s="53">
        <v>46134</v>
      </c>
      <c r="I249" s="81"/>
      <c r="J249" s="32"/>
      <c r="K249" s="32"/>
      <c r="L249" s="32"/>
      <c r="M249" s="32"/>
      <c r="N249" s="32"/>
      <c r="O249" s="32"/>
      <c r="P249" s="32"/>
      <c r="Q249" s="32"/>
      <c r="R249" s="82" t="s">
        <v>510</v>
      </c>
      <c r="S249" s="82"/>
      <c r="T249" s="32" t="s">
        <v>313</v>
      </c>
      <c r="U249" s="79"/>
    </row>
    <row r="250" spans="1:21" x14ac:dyDescent="0.25">
      <c r="A250" s="32"/>
      <c r="B250" s="25"/>
      <c r="C250" s="25" t="s">
        <v>673</v>
      </c>
      <c r="D250" s="25"/>
      <c r="E250" s="52" t="s">
        <v>472</v>
      </c>
      <c r="F250" s="53" t="s">
        <v>551</v>
      </c>
      <c r="G250" s="53" t="s">
        <v>184</v>
      </c>
      <c r="H250" s="53">
        <v>46135</v>
      </c>
      <c r="I250" s="81"/>
      <c r="J250" s="32"/>
      <c r="K250" s="32"/>
      <c r="L250" s="32"/>
      <c r="M250" s="32"/>
      <c r="N250" s="32"/>
      <c r="O250" s="32"/>
      <c r="P250" s="32"/>
      <c r="Q250" s="32"/>
      <c r="R250" s="82" t="s">
        <v>111</v>
      </c>
      <c r="S250" s="82"/>
      <c r="T250" s="32" t="s">
        <v>125</v>
      </c>
      <c r="U250" s="79"/>
    </row>
    <row r="251" spans="1:21" x14ac:dyDescent="0.25">
      <c r="A251" s="32"/>
      <c r="B251" s="25"/>
      <c r="C251" s="25" t="s">
        <v>674</v>
      </c>
      <c r="D251" s="25"/>
      <c r="E251" s="52" t="s">
        <v>473</v>
      </c>
      <c r="F251" s="53" t="s">
        <v>552</v>
      </c>
      <c r="G251" s="53" t="s">
        <v>184</v>
      </c>
      <c r="H251" s="53">
        <v>46136</v>
      </c>
      <c r="I251" s="81"/>
      <c r="J251" s="32"/>
      <c r="K251" s="32"/>
      <c r="L251" s="32"/>
      <c r="M251" s="32"/>
      <c r="N251" s="32"/>
      <c r="O251" s="32"/>
      <c r="P251" s="32"/>
      <c r="Q251" s="32"/>
      <c r="R251" s="82" t="s">
        <v>16</v>
      </c>
      <c r="S251" s="82"/>
      <c r="T251" s="32" t="s">
        <v>14</v>
      </c>
      <c r="U251" s="79"/>
    </row>
    <row r="252" spans="1:21" x14ac:dyDescent="0.25">
      <c r="A252" s="32"/>
      <c r="B252" s="25"/>
      <c r="C252" s="25" t="s">
        <v>675</v>
      </c>
      <c r="D252" s="25"/>
      <c r="E252" s="52" t="s">
        <v>474</v>
      </c>
      <c r="F252" s="53" t="s">
        <v>553</v>
      </c>
      <c r="G252" s="53" t="s">
        <v>184</v>
      </c>
      <c r="H252" s="53">
        <v>46137</v>
      </c>
      <c r="I252" s="81"/>
      <c r="J252" s="32"/>
      <c r="K252" s="32"/>
      <c r="L252" s="32"/>
      <c r="M252" s="32"/>
      <c r="N252" s="32"/>
      <c r="O252" s="32"/>
      <c r="P252" s="32"/>
      <c r="Q252" s="32"/>
      <c r="R252" s="82" t="s">
        <v>509</v>
      </c>
      <c r="S252" s="82"/>
      <c r="T252" s="32" t="s">
        <v>313</v>
      </c>
      <c r="U252" s="79"/>
    </row>
    <row r="253" spans="1:21" x14ac:dyDescent="0.25">
      <c r="A253" s="32"/>
      <c r="B253" s="25"/>
      <c r="C253" s="25" t="s">
        <v>676</v>
      </c>
      <c r="D253" s="25"/>
      <c r="E253" s="52" t="s">
        <v>339</v>
      </c>
      <c r="F253" s="53" t="s">
        <v>554</v>
      </c>
      <c r="G253" s="53" t="s">
        <v>184</v>
      </c>
      <c r="H253" s="53">
        <v>46138</v>
      </c>
      <c r="I253" s="81"/>
      <c r="J253" s="32"/>
      <c r="K253" s="32"/>
      <c r="L253" s="32"/>
      <c r="M253" s="32"/>
      <c r="N253" s="32"/>
      <c r="O253" s="32"/>
      <c r="P253" s="32"/>
      <c r="Q253" s="32"/>
      <c r="R253" s="82" t="s">
        <v>35</v>
      </c>
      <c r="S253" s="82"/>
      <c r="T253" s="32" t="s">
        <v>125</v>
      </c>
      <c r="U253" s="79"/>
    </row>
    <row r="254" spans="1:21" x14ac:dyDescent="0.25">
      <c r="A254" s="32"/>
      <c r="B254" s="25"/>
      <c r="C254" s="25" t="s">
        <v>677</v>
      </c>
      <c r="D254" s="25"/>
      <c r="E254" s="52" t="s">
        <v>475</v>
      </c>
      <c r="F254" s="53" t="s">
        <v>555</v>
      </c>
      <c r="G254" s="53" t="s">
        <v>184</v>
      </c>
      <c r="H254" s="53">
        <v>46139</v>
      </c>
      <c r="I254" s="81"/>
      <c r="J254" s="32"/>
      <c r="K254" s="32"/>
      <c r="L254" s="32"/>
      <c r="M254" s="32"/>
      <c r="N254" s="32"/>
      <c r="O254" s="32"/>
      <c r="P254" s="32"/>
      <c r="Q254" s="32"/>
      <c r="R254" s="56" t="s">
        <v>33</v>
      </c>
      <c r="S254" s="82"/>
      <c r="T254" s="32" t="s">
        <v>14</v>
      </c>
      <c r="U254" s="79"/>
    </row>
    <row r="255" spans="1:21" x14ac:dyDescent="0.25">
      <c r="A255" s="32"/>
      <c r="B255" s="25"/>
      <c r="C255" s="25" t="s">
        <v>678</v>
      </c>
      <c r="D255" s="25"/>
      <c r="E255" s="52" t="s">
        <v>476</v>
      </c>
      <c r="F255" s="53" t="s">
        <v>556</v>
      </c>
      <c r="G255" s="53" t="s">
        <v>184</v>
      </c>
      <c r="H255" s="53">
        <v>46140</v>
      </c>
      <c r="I255" s="81"/>
      <c r="J255" s="32"/>
      <c r="K255" s="32"/>
      <c r="L255" s="32"/>
      <c r="M255" s="32"/>
      <c r="N255" s="32"/>
      <c r="O255" s="32"/>
      <c r="P255" s="32"/>
      <c r="Q255" s="32"/>
      <c r="R255" s="56" t="s">
        <v>15</v>
      </c>
      <c r="S255" s="82"/>
      <c r="T255" s="32" t="s">
        <v>313</v>
      </c>
      <c r="U255" s="79"/>
    </row>
    <row r="256" spans="1:21" x14ac:dyDescent="0.25">
      <c r="A256" s="32"/>
      <c r="B256" s="25"/>
      <c r="C256" s="25" t="s">
        <v>679</v>
      </c>
      <c r="D256" s="25"/>
      <c r="E256" s="52" t="s">
        <v>477</v>
      </c>
      <c r="F256" s="53" t="s">
        <v>557</v>
      </c>
      <c r="G256" s="53" t="s">
        <v>184</v>
      </c>
      <c r="H256" s="53">
        <v>46141</v>
      </c>
      <c r="I256" s="81"/>
      <c r="J256" s="32"/>
      <c r="K256" s="32"/>
      <c r="L256" s="32"/>
      <c r="M256" s="32"/>
      <c r="N256" s="32"/>
      <c r="O256" s="32"/>
      <c r="P256" s="32"/>
      <c r="Q256" s="32"/>
      <c r="R256" s="82" t="s">
        <v>424</v>
      </c>
      <c r="S256" s="82"/>
      <c r="T256" s="32" t="s">
        <v>125</v>
      </c>
      <c r="U256" s="79"/>
    </row>
    <row r="257" spans="1:21" x14ac:dyDescent="0.25">
      <c r="A257" s="32"/>
      <c r="B257" s="25"/>
      <c r="C257" s="25" t="s">
        <v>680</v>
      </c>
      <c r="D257" s="25"/>
      <c r="E257" s="52" t="s">
        <v>340</v>
      </c>
      <c r="F257" s="53" t="s">
        <v>558</v>
      </c>
      <c r="G257" s="53" t="s">
        <v>184</v>
      </c>
      <c r="H257" s="53">
        <v>46142</v>
      </c>
      <c r="I257" s="81"/>
      <c r="J257" s="32"/>
      <c r="K257" s="32"/>
      <c r="L257" s="32"/>
      <c r="M257" s="32"/>
      <c r="N257" s="32"/>
      <c r="O257" s="32"/>
      <c r="P257" s="32"/>
      <c r="Q257" s="32"/>
      <c r="R257" s="82" t="s">
        <v>28</v>
      </c>
      <c r="S257" s="82"/>
      <c r="T257" s="32" t="s">
        <v>14</v>
      </c>
      <c r="U257" s="79"/>
    </row>
    <row r="258" spans="1:21" x14ac:dyDescent="0.25">
      <c r="A258" s="32"/>
      <c r="B258" s="25"/>
      <c r="C258" s="25" t="s">
        <v>681</v>
      </c>
      <c r="D258" s="25"/>
      <c r="E258" s="52" t="s">
        <v>478</v>
      </c>
      <c r="F258" s="53" t="s">
        <v>559</v>
      </c>
      <c r="G258" s="53" t="s">
        <v>184</v>
      </c>
      <c r="H258" s="53">
        <v>46143</v>
      </c>
      <c r="I258" s="81"/>
      <c r="J258" s="32"/>
      <c r="K258" s="32"/>
      <c r="L258" s="32"/>
      <c r="M258" s="32"/>
      <c r="N258" s="32"/>
      <c r="O258" s="32"/>
      <c r="P258" s="32"/>
      <c r="Q258" s="32"/>
      <c r="R258" s="82" t="s">
        <v>124</v>
      </c>
      <c r="S258" s="82"/>
      <c r="T258" s="32" t="s">
        <v>313</v>
      </c>
      <c r="U258" s="79"/>
    </row>
    <row r="259" spans="1:21" x14ac:dyDescent="0.25">
      <c r="A259" s="32"/>
      <c r="B259" s="25"/>
      <c r="C259" s="25" t="s">
        <v>682</v>
      </c>
      <c r="D259" s="25"/>
      <c r="E259" s="52" t="s">
        <v>479</v>
      </c>
      <c r="F259" s="53" t="s">
        <v>560</v>
      </c>
      <c r="G259" s="53" t="s">
        <v>184</v>
      </c>
      <c r="H259" s="53">
        <v>46144</v>
      </c>
      <c r="I259" s="81"/>
      <c r="J259" s="32"/>
      <c r="K259" s="32"/>
      <c r="L259" s="32"/>
      <c r="M259" s="32"/>
      <c r="N259" s="32"/>
      <c r="O259" s="32"/>
      <c r="P259" s="32"/>
      <c r="Q259" s="32"/>
      <c r="R259" s="82" t="s">
        <v>32</v>
      </c>
      <c r="S259" s="82"/>
      <c r="T259" s="32" t="s">
        <v>125</v>
      </c>
      <c r="U259" s="79"/>
    </row>
    <row r="260" spans="1:21" x14ac:dyDescent="0.25">
      <c r="A260" s="32"/>
      <c r="B260" s="25"/>
      <c r="C260" s="25" t="s">
        <v>683</v>
      </c>
      <c r="D260" s="25"/>
      <c r="E260" s="52" t="s">
        <v>480</v>
      </c>
      <c r="F260" s="53" t="s">
        <v>561</v>
      </c>
      <c r="G260" s="53" t="s">
        <v>184</v>
      </c>
      <c r="H260" s="53">
        <v>46145</v>
      </c>
      <c r="I260" s="81"/>
      <c r="J260" s="32"/>
      <c r="K260" s="32"/>
      <c r="L260" s="32"/>
      <c r="M260" s="32"/>
      <c r="N260" s="32"/>
      <c r="O260" s="32"/>
      <c r="P260" s="32"/>
      <c r="Q260" s="32"/>
      <c r="R260" s="82" t="s">
        <v>510</v>
      </c>
      <c r="S260" s="82"/>
      <c r="T260" s="32" t="s">
        <v>125</v>
      </c>
      <c r="U260" s="79"/>
    </row>
    <row r="261" spans="1:21" x14ac:dyDescent="0.25">
      <c r="A261" s="32"/>
      <c r="B261" s="25"/>
      <c r="C261" s="25" t="s">
        <v>684</v>
      </c>
      <c r="D261" s="25"/>
      <c r="E261" s="52" t="s">
        <v>341</v>
      </c>
      <c r="F261" s="53" t="s">
        <v>562</v>
      </c>
      <c r="G261" s="53" t="s">
        <v>184</v>
      </c>
      <c r="H261" s="53">
        <v>46146</v>
      </c>
      <c r="I261" s="81"/>
      <c r="J261" s="32"/>
      <c r="K261" s="32"/>
      <c r="L261" s="32"/>
      <c r="M261" s="32"/>
      <c r="N261" s="32"/>
      <c r="O261" s="32"/>
      <c r="P261" s="32"/>
      <c r="Q261" s="32"/>
      <c r="R261" s="82" t="s">
        <v>111</v>
      </c>
      <c r="S261" s="82"/>
      <c r="T261" s="32" t="s">
        <v>14</v>
      </c>
      <c r="U261" s="79"/>
    </row>
    <row r="262" spans="1:21" x14ac:dyDescent="0.25">
      <c r="A262" s="32"/>
      <c r="B262" s="25"/>
      <c r="C262" s="25" t="s">
        <v>685</v>
      </c>
      <c r="D262" s="25"/>
      <c r="E262" s="52" t="s">
        <v>481</v>
      </c>
      <c r="F262" s="53" t="s">
        <v>563</v>
      </c>
      <c r="G262" s="53" t="s">
        <v>184</v>
      </c>
      <c r="H262" s="53">
        <v>46147</v>
      </c>
      <c r="I262" s="81"/>
      <c r="J262" s="32"/>
      <c r="K262" s="32"/>
      <c r="L262" s="32"/>
      <c r="M262" s="32"/>
      <c r="N262" s="32"/>
      <c r="O262" s="32"/>
      <c r="P262" s="32"/>
      <c r="Q262" s="32"/>
      <c r="R262" s="82" t="s">
        <v>111</v>
      </c>
      <c r="S262" s="82"/>
      <c r="T262" s="32" t="s">
        <v>313</v>
      </c>
      <c r="U262" s="79"/>
    </row>
    <row r="263" spans="1:21" x14ac:dyDescent="0.25">
      <c r="A263" s="32"/>
      <c r="B263" s="25"/>
      <c r="C263" s="25" t="s">
        <v>686</v>
      </c>
      <c r="D263" s="25"/>
      <c r="E263" s="52" t="s">
        <v>482</v>
      </c>
      <c r="F263" s="53" t="s">
        <v>564</v>
      </c>
      <c r="G263" s="53" t="s">
        <v>184</v>
      </c>
      <c r="H263" s="53">
        <v>46148</v>
      </c>
      <c r="I263" s="81"/>
      <c r="J263" s="32"/>
      <c r="K263" s="32"/>
      <c r="L263" s="32"/>
      <c r="M263" s="32"/>
      <c r="N263" s="32"/>
      <c r="O263" s="32"/>
      <c r="P263" s="32"/>
      <c r="Q263" s="32"/>
      <c r="R263" s="82" t="s">
        <v>16</v>
      </c>
      <c r="S263" s="82"/>
      <c r="T263" s="32" t="s">
        <v>125</v>
      </c>
      <c r="U263" s="79"/>
    </row>
    <row r="264" spans="1:21" x14ac:dyDescent="0.25">
      <c r="A264" s="32"/>
      <c r="B264" s="25"/>
      <c r="C264" s="25" t="s">
        <v>687</v>
      </c>
      <c r="D264" s="25"/>
      <c r="E264" s="52" t="s">
        <v>483</v>
      </c>
      <c r="F264" s="53" t="s">
        <v>565</v>
      </c>
      <c r="G264" s="53" t="s">
        <v>184</v>
      </c>
      <c r="H264" s="53">
        <v>46149</v>
      </c>
      <c r="I264" s="81"/>
      <c r="J264" s="32"/>
      <c r="K264" s="32"/>
      <c r="L264" s="32"/>
      <c r="M264" s="32"/>
      <c r="N264" s="32"/>
      <c r="O264" s="32"/>
      <c r="P264" s="32"/>
      <c r="Q264" s="32"/>
      <c r="R264" s="82" t="s">
        <v>509</v>
      </c>
      <c r="S264" s="82"/>
      <c r="T264" s="32" t="s">
        <v>14</v>
      </c>
      <c r="U264" s="79"/>
    </row>
    <row r="265" spans="1:21" x14ac:dyDescent="0.25">
      <c r="A265" s="32"/>
      <c r="B265" s="25"/>
      <c r="C265" s="25" t="s">
        <v>688</v>
      </c>
      <c r="D265" s="25"/>
      <c r="E265" s="52" t="s">
        <v>342</v>
      </c>
      <c r="F265" s="53" t="s">
        <v>566</v>
      </c>
      <c r="G265" s="53" t="s">
        <v>184</v>
      </c>
      <c r="H265" s="53">
        <v>46150</v>
      </c>
      <c r="I265" s="81"/>
      <c r="J265" s="32"/>
      <c r="K265" s="32"/>
      <c r="L265" s="32"/>
      <c r="M265" s="32"/>
      <c r="N265" s="32"/>
      <c r="O265" s="32"/>
      <c r="P265" s="32"/>
      <c r="Q265" s="32"/>
      <c r="R265" s="82" t="s">
        <v>35</v>
      </c>
      <c r="S265" s="82"/>
      <c r="T265" s="32" t="s">
        <v>313</v>
      </c>
      <c r="U265" s="79"/>
    </row>
    <row r="266" spans="1:21" x14ac:dyDescent="0.25">
      <c r="A266" s="32"/>
      <c r="B266" s="25"/>
      <c r="C266" s="25" t="s">
        <v>689</v>
      </c>
      <c r="D266" s="25"/>
      <c r="E266" s="52" t="s">
        <v>484</v>
      </c>
      <c r="F266" s="53" t="s">
        <v>567</v>
      </c>
      <c r="G266" s="53" t="s">
        <v>184</v>
      </c>
      <c r="H266" s="53">
        <v>46151</v>
      </c>
      <c r="I266" s="81"/>
      <c r="J266" s="32"/>
      <c r="K266" s="32"/>
      <c r="L266" s="32"/>
      <c r="M266" s="32"/>
      <c r="N266" s="32"/>
      <c r="O266" s="32"/>
      <c r="P266" s="32"/>
      <c r="Q266" s="32"/>
      <c r="R266" s="56" t="s">
        <v>33</v>
      </c>
      <c r="S266" s="82"/>
      <c r="T266" s="32" t="s">
        <v>125</v>
      </c>
      <c r="U266" s="79"/>
    </row>
    <row r="267" spans="1:21" x14ac:dyDescent="0.25">
      <c r="A267" s="32"/>
      <c r="B267" s="25"/>
      <c r="C267" s="25" t="s">
        <v>690</v>
      </c>
      <c r="D267" s="25"/>
      <c r="E267" s="52"/>
      <c r="F267" s="53" t="s">
        <v>568</v>
      </c>
      <c r="G267" s="53" t="s">
        <v>184</v>
      </c>
      <c r="H267" s="53">
        <v>46152</v>
      </c>
      <c r="I267" s="81"/>
      <c r="J267" s="32"/>
      <c r="K267" s="32"/>
      <c r="L267" s="32"/>
      <c r="M267" s="32"/>
      <c r="N267" s="32"/>
      <c r="O267" s="32"/>
      <c r="P267" s="32"/>
      <c r="Q267" s="32"/>
      <c r="R267" s="56" t="s">
        <v>15</v>
      </c>
      <c r="S267" s="82"/>
      <c r="T267" s="32" t="s">
        <v>14</v>
      </c>
      <c r="U267" s="79"/>
    </row>
    <row r="268" spans="1:21" x14ac:dyDescent="0.25">
      <c r="A268" s="32"/>
      <c r="B268" s="25"/>
      <c r="C268" s="25" t="s">
        <v>691</v>
      </c>
      <c r="D268" s="25"/>
      <c r="E268" s="52" t="s">
        <v>319</v>
      </c>
      <c r="F268" s="53" t="s">
        <v>295</v>
      </c>
      <c r="G268" s="53" t="s">
        <v>184</v>
      </c>
      <c r="H268" s="53">
        <v>46153</v>
      </c>
      <c r="I268" s="81"/>
      <c r="J268" s="32"/>
      <c r="K268" s="32"/>
      <c r="L268" s="32"/>
      <c r="M268" s="32"/>
      <c r="N268" s="32"/>
      <c r="O268" s="32"/>
      <c r="P268" s="32"/>
      <c r="Q268" s="32"/>
      <c r="R268" s="82" t="s">
        <v>424</v>
      </c>
      <c r="S268" s="82"/>
      <c r="T268" s="32" t="s">
        <v>313</v>
      </c>
      <c r="U268" s="79"/>
    </row>
    <row r="269" spans="1:21" x14ac:dyDescent="0.25">
      <c r="A269" s="32"/>
      <c r="B269" s="25"/>
      <c r="C269" s="25" t="s">
        <v>692</v>
      </c>
      <c r="D269" s="25"/>
      <c r="E269" s="52" t="s">
        <v>320</v>
      </c>
      <c r="F269" s="53" t="s">
        <v>295</v>
      </c>
      <c r="G269" s="53" t="s">
        <v>184</v>
      </c>
      <c r="H269" s="53">
        <v>46154</v>
      </c>
      <c r="I269" s="81"/>
      <c r="J269" s="32"/>
      <c r="K269" s="32"/>
      <c r="L269" s="32"/>
      <c r="M269" s="32"/>
      <c r="N269" s="32"/>
      <c r="O269" s="32"/>
      <c r="P269" s="32"/>
      <c r="Q269" s="32"/>
      <c r="R269" s="82" t="s">
        <v>28</v>
      </c>
      <c r="S269" s="82"/>
      <c r="T269" s="32" t="s">
        <v>125</v>
      </c>
      <c r="U269" s="79"/>
    </row>
    <row r="270" spans="1:21" x14ac:dyDescent="0.25">
      <c r="A270" s="32"/>
      <c r="B270" s="25"/>
      <c r="C270" s="25" t="s">
        <v>693</v>
      </c>
      <c r="D270" s="25"/>
      <c r="E270" s="52" t="s">
        <v>321</v>
      </c>
      <c r="F270" s="53" t="s">
        <v>295</v>
      </c>
      <c r="G270" s="53" t="s">
        <v>184</v>
      </c>
      <c r="H270" s="53">
        <v>46155</v>
      </c>
      <c r="I270" s="81"/>
      <c r="J270" s="32"/>
      <c r="K270" s="32"/>
      <c r="L270" s="32"/>
      <c r="M270" s="32"/>
      <c r="N270" s="32"/>
      <c r="O270" s="32"/>
      <c r="P270" s="32"/>
      <c r="Q270" s="32"/>
      <c r="R270" s="82" t="s">
        <v>124</v>
      </c>
      <c r="S270" s="82"/>
      <c r="T270" s="32" t="s">
        <v>14</v>
      </c>
      <c r="U270" s="79"/>
    </row>
    <row r="271" spans="1:21" x14ac:dyDescent="0.25">
      <c r="A271" s="32"/>
      <c r="B271" s="25"/>
      <c r="C271" s="25" t="s">
        <v>694</v>
      </c>
      <c r="D271" s="25"/>
      <c r="E271" s="52" t="s">
        <v>322</v>
      </c>
      <c r="F271" s="53" t="s">
        <v>295</v>
      </c>
      <c r="G271" s="53" t="s">
        <v>184</v>
      </c>
      <c r="H271" s="53">
        <v>46156</v>
      </c>
      <c r="I271" s="81"/>
      <c r="J271" s="32"/>
      <c r="K271" s="32"/>
      <c r="L271" s="32"/>
      <c r="M271" s="32"/>
      <c r="N271" s="32"/>
      <c r="O271" s="32"/>
      <c r="P271" s="32"/>
      <c r="Q271" s="32"/>
      <c r="R271" s="82" t="s">
        <v>32</v>
      </c>
      <c r="S271" s="82"/>
      <c r="T271" s="32" t="s">
        <v>313</v>
      </c>
      <c r="U271" s="79"/>
    </row>
    <row r="272" spans="1:21" x14ac:dyDescent="0.25">
      <c r="A272" s="32"/>
      <c r="B272" s="25"/>
      <c r="C272" s="25" t="s">
        <v>695</v>
      </c>
      <c r="D272" s="25"/>
      <c r="E272" s="52" t="s">
        <v>323</v>
      </c>
      <c r="F272" s="53" t="s">
        <v>295</v>
      </c>
      <c r="G272" s="53" t="s">
        <v>184</v>
      </c>
      <c r="H272" s="53">
        <v>46157</v>
      </c>
      <c r="I272" s="81"/>
      <c r="J272" s="32"/>
      <c r="K272" s="32"/>
      <c r="L272" s="32"/>
      <c r="M272" s="32"/>
      <c r="N272" s="32"/>
      <c r="O272" s="32"/>
      <c r="P272" s="32"/>
      <c r="Q272" s="32"/>
      <c r="R272" s="82" t="s">
        <v>510</v>
      </c>
      <c r="S272" s="82"/>
      <c r="T272" s="32" t="s">
        <v>125</v>
      </c>
      <c r="U272" s="79"/>
    </row>
    <row r="273" spans="1:21" x14ac:dyDescent="0.25">
      <c r="A273" s="32"/>
      <c r="B273" s="25"/>
      <c r="C273" s="25" t="s">
        <v>696</v>
      </c>
      <c r="D273" s="25"/>
      <c r="E273" s="52" t="s">
        <v>324</v>
      </c>
      <c r="F273" s="53" t="s">
        <v>295</v>
      </c>
      <c r="G273" s="53" t="s">
        <v>184</v>
      </c>
      <c r="H273" s="53">
        <v>46158</v>
      </c>
      <c r="I273" s="81"/>
      <c r="J273" s="32"/>
      <c r="K273" s="32"/>
      <c r="L273" s="32"/>
      <c r="M273" s="32"/>
      <c r="N273" s="32"/>
      <c r="O273" s="32"/>
      <c r="P273" s="32"/>
      <c r="Q273" s="32"/>
      <c r="R273" s="82" t="s">
        <v>111</v>
      </c>
      <c r="S273" s="82"/>
      <c r="T273" s="32" t="s">
        <v>14</v>
      </c>
      <c r="U273" s="79"/>
    </row>
    <row r="274" spans="1:21" x14ac:dyDescent="0.25">
      <c r="A274" s="32"/>
      <c r="B274" s="25"/>
      <c r="C274" s="25" t="s">
        <v>697</v>
      </c>
      <c r="D274" s="25"/>
      <c r="E274" s="52" t="s">
        <v>325</v>
      </c>
      <c r="F274" s="53" t="s">
        <v>295</v>
      </c>
      <c r="G274" s="53" t="s">
        <v>184</v>
      </c>
      <c r="H274" s="53">
        <v>46159</v>
      </c>
      <c r="I274" s="81"/>
      <c r="J274" s="32"/>
      <c r="K274" s="32"/>
      <c r="L274" s="32"/>
      <c r="M274" s="32"/>
      <c r="N274" s="32"/>
      <c r="O274" s="32"/>
      <c r="P274" s="32"/>
      <c r="Q274" s="32"/>
      <c r="R274" s="82" t="s">
        <v>16</v>
      </c>
      <c r="S274" s="82"/>
      <c r="T274" s="32" t="s">
        <v>313</v>
      </c>
      <c r="U274" s="79"/>
    </row>
    <row r="275" spans="1:21" x14ac:dyDescent="0.25">
      <c r="A275" s="32"/>
      <c r="B275" s="25"/>
      <c r="C275" s="25" t="s">
        <v>698</v>
      </c>
      <c r="D275" s="25"/>
      <c r="E275" s="52" t="s">
        <v>326</v>
      </c>
      <c r="F275" s="53" t="s">
        <v>295</v>
      </c>
      <c r="G275" s="53" t="s">
        <v>184</v>
      </c>
      <c r="H275" s="53">
        <v>46160</v>
      </c>
      <c r="I275" s="81"/>
      <c r="J275" s="32"/>
      <c r="K275" s="32"/>
      <c r="L275" s="32"/>
      <c r="M275" s="32"/>
      <c r="N275" s="32"/>
      <c r="O275" s="32"/>
      <c r="P275" s="32"/>
      <c r="Q275" s="32"/>
      <c r="R275" s="82" t="s">
        <v>509</v>
      </c>
      <c r="S275" s="82"/>
      <c r="T275" s="32" t="s">
        <v>125</v>
      </c>
      <c r="U275" s="79"/>
    </row>
    <row r="276" spans="1:21" x14ac:dyDescent="0.25">
      <c r="A276" s="32"/>
      <c r="B276" s="25"/>
      <c r="C276" s="25" t="s">
        <v>699</v>
      </c>
      <c r="D276" s="25"/>
      <c r="E276" s="52" t="s">
        <v>327</v>
      </c>
      <c r="F276" s="53" t="s">
        <v>295</v>
      </c>
      <c r="G276" s="53" t="s">
        <v>184</v>
      </c>
      <c r="H276" s="53">
        <v>46161</v>
      </c>
      <c r="I276" s="81"/>
      <c r="J276" s="32"/>
      <c r="K276" s="32"/>
      <c r="L276" s="32"/>
      <c r="M276" s="32"/>
      <c r="N276" s="32"/>
      <c r="O276" s="32"/>
      <c r="P276" s="32"/>
      <c r="Q276" s="32"/>
      <c r="R276" s="82" t="s">
        <v>35</v>
      </c>
      <c r="S276" s="82"/>
      <c r="T276" s="32" t="s">
        <v>14</v>
      </c>
      <c r="U276" s="79"/>
    </row>
    <row r="277" spans="1:21" x14ac:dyDescent="0.25">
      <c r="A277" s="79"/>
      <c r="B277" s="83"/>
      <c r="C277" s="83"/>
      <c r="D277" s="83"/>
      <c r="E277" s="85"/>
      <c r="F277" s="86"/>
      <c r="G277" s="86"/>
      <c r="H277" s="111"/>
      <c r="I277" s="111"/>
      <c r="J277" s="79"/>
      <c r="K277" s="79"/>
      <c r="L277" s="79"/>
      <c r="M277" s="79"/>
      <c r="N277" s="79"/>
      <c r="O277" s="79"/>
      <c r="P277" s="79"/>
      <c r="Q277" s="79"/>
      <c r="R277" s="112"/>
      <c r="S277" s="112"/>
      <c r="T277" s="79"/>
      <c r="U277" s="79"/>
    </row>
    <row r="278" spans="1:21" x14ac:dyDescent="0.25">
      <c r="A278" s="72"/>
      <c r="B278" s="73"/>
      <c r="C278" s="74"/>
      <c r="D278" s="73"/>
      <c r="E278" s="73"/>
      <c r="F278" s="75"/>
      <c r="G278" s="76"/>
      <c r="H278" s="77"/>
      <c r="I278" s="77"/>
      <c r="J278" s="72"/>
      <c r="K278" s="72"/>
      <c r="L278" s="72"/>
      <c r="M278" s="72"/>
      <c r="N278" s="72"/>
      <c r="O278" s="72"/>
      <c r="P278" s="72"/>
      <c r="Q278" s="72"/>
      <c r="R278" s="78"/>
      <c r="S278" s="78"/>
      <c r="T278" s="72"/>
      <c r="U278" s="72"/>
    </row>
    <row r="279" spans="1:21" x14ac:dyDescent="0.25">
      <c r="A279" s="32">
        <v>46</v>
      </c>
      <c r="B279" s="25"/>
      <c r="C279" s="25" t="s">
        <v>300</v>
      </c>
      <c r="D279" s="25" t="s">
        <v>37</v>
      </c>
      <c r="E279" s="52" t="s">
        <v>301</v>
      </c>
      <c r="F279" s="53" t="s">
        <v>295</v>
      </c>
      <c r="G279" s="53" t="s">
        <v>62</v>
      </c>
      <c r="H279" s="53" t="s">
        <v>306</v>
      </c>
      <c r="I279" s="81"/>
      <c r="J279" s="32"/>
      <c r="K279" s="32">
        <v>1.5129999999999999</v>
      </c>
      <c r="L279" s="32"/>
      <c r="M279" s="32"/>
      <c r="N279" s="32"/>
      <c r="O279" s="32"/>
      <c r="P279" s="53" t="s">
        <v>306</v>
      </c>
      <c r="Q279" s="82" t="s">
        <v>255</v>
      </c>
      <c r="R279" s="82" t="s">
        <v>35</v>
      </c>
      <c r="S279" s="82" t="s">
        <v>255</v>
      </c>
      <c r="T279" s="32" t="s">
        <v>125</v>
      </c>
      <c r="U279" s="32"/>
    </row>
    <row r="280" spans="1:21" x14ac:dyDescent="0.25">
      <c r="A280" s="32"/>
      <c r="B280" s="25"/>
      <c r="C280" s="25" t="s">
        <v>700</v>
      </c>
      <c r="D280" s="25"/>
      <c r="E280" s="52" t="s">
        <v>491</v>
      </c>
      <c r="F280" s="53" t="s">
        <v>432</v>
      </c>
      <c r="G280" s="53" t="s">
        <v>62</v>
      </c>
      <c r="H280" s="53" t="s">
        <v>506</v>
      </c>
      <c r="I280" s="81"/>
      <c r="J280" s="32"/>
      <c r="K280" s="32"/>
      <c r="L280" s="32"/>
      <c r="M280" s="32"/>
      <c r="N280" s="32"/>
      <c r="O280" s="32"/>
      <c r="P280" s="53"/>
      <c r="Q280" s="82"/>
      <c r="R280" s="82" t="s">
        <v>429</v>
      </c>
      <c r="S280" s="82"/>
      <c r="T280" s="32" t="s">
        <v>14</v>
      </c>
      <c r="U280" s="32"/>
    </row>
    <row r="281" spans="1:21" x14ac:dyDescent="0.25">
      <c r="A281" s="72"/>
      <c r="B281" s="73"/>
      <c r="C281" s="74"/>
      <c r="D281" s="73"/>
      <c r="E281" s="73"/>
      <c r="F281" s="75"/>
      <c r="G281" s="76"/>
      <c r="H281" s="77"/>
      <c r="I281" s="77"/>
      <c r="J281" s="72"/>
      <c r="K281" s="72"/>
      <c r="L281" s="72"/>
      <c r="M281" s="72"/>
      <c r="N281" s="72"/>
      <c r="O281" s="72"/>
      <c r="P281" s="72"/>
      <c r="Q281" s="72"/>
      <c r="R281" s="78"/>
      <c r="S281" s="78"/>
      <c r="T281" s="72"/>
      <c r="U281" s="72"/>
    </row>
    <row r="282" spans="1:21" x14ac:dyDescent="0.25">
      <c r="A282" s="32">
        <v>47</v>
      </c>
      <c r="B282" s="25"/>
      <c r="C282" s="25" t="s">
        <v>304</v>
      </c>
      <c r="D282" s="25" t="s">
        <v>303</v>
      </c>
      <c r="E282" s="52" t="s">
        <v>53</v>
      </c>
      <c r="F282" s="53" t="s">
        <v>289</v>
      </c>
      <c r="G282" s="53" t="s">
        <v>62</v>
      </c>
      <c r="H282" s="53">
        <v>46148</v>
      </c>
      <c r="I282" s="81"/>
      <c r="J282" s="32"/>
      <c r="K282" s="32"/>
      <c r="L282" s="32"/>
      <c r="M282" s="32"/>
      <c r="N282" s="32"/>
      <c r="O282" s="32"/>
      <c r="P282" s="32"/>
      <c r="Q282" s="32"/>
      <c r="R282" s="82" t="s">
        <v>429</v>
      </c>
      <c r="S282" s="82"/>
      <c r="T282" s="32" t="s">
        <v>125</v>
      </c>
      <c r="U282" s="32"/>
    </row>
    <row r="283" spans="1:21" x14ac:dyDescent="0.25">
      <c r="A283" s="32"/>
      <c r="B283" s="25"/>
      <c r="C283" s="25" t="s">
        <v>701</v>
      </c>
      <c r="D283" s="25"/>
      <c r="E283" s="52" t="s">
        <v>292</v>
      </c>
      <c r="F283" s="53" t="s">
        <v>289</v>
      </c>
      <c r="G283" s="88" t="s">
        <v>64</v>
      </c>
      <c r="H283" s="114" t="s">
        <v>298</v>
      </c>
      <c r="I283" s="53"/>
      <c r="J283" s="54"/>
      <c r="K283" s="54"/>
      <c r="L283" s="54"/>
      <c r="M283" s="32"/>
      <c r="N283" s="32"/>
      <c r="O283" s="32"/>
      <c r="P283" s="53">
        <v>46202</v>
      </c>
      <c r="Q283" s="32" t="s">
        <v>255</v>
      </c>
      <c r="R283" s="80" t="s">
        <v>33</v>
      </c>
      <c r="S283" s="80"/>
      <c r="T283" s="32" t="s">
        <v>14</v>
      </c>
      <c r="U283" s="32"/>
    </row>
    <row r="284" spans="1:21" x14ac:dyDescent="0.25">
      <c r="A284" s="72"/>
      <c r="B284" s="73"/>
      <c r="C284" s="74"/>
      <c r="D284" s="73"/>
      <c r="E284" s="73"/>
      <c r="F284" s="75"/>
      <c r="G284" s="76"/>
      <c r="H284" s="77"/>
      <c r="I284" s="77"/>
      <c r="J284" s="72"/>
      <c r="K284" s="72"/>
      <c r="L284" s="72"/>
      <c r="M284" s="72"/>
      <c r="N284" s="72"/>
      <c r="O284" s="72"/>
      <c r="P284" s="72"/>
      <c r="Q284" s="72"/>
      <c r="R284" s="78"/>
      <c r="S284" s="78"/>
      <c r="T284" s="72"/>
      <c r="U284" s="72"/>
    </row>
    <row r="285" spans="1:21" x14ac:dyDescent="0.25">
      <c r="A285" s="32">
        <v>48</v>
      </c>
      <c r="B285" s="25"/>
      <c r="C285" s="25" t="s">
        <v>302</v>
      </c>
      <c r="D285" s="25" t="s">
        <v>303</v>
      </c>
      <c r="E285" s="52" t="s">
        <v>308</v>
      </c>
      <c r="F285" s="53" t="s">
        <v>289</v>
      </c>
      <c r="G285" s="53" t="s">
        <v>62</v>
      </c>
      <c r="H285" s="53" t="s">
        <v>299</v>
      </c>
      <c r="I285" s="81"/>
      <c r="J285" s="32"/>
      <c r="K285" s="32">
        <v>0.72499999999999998</v>
      </c>
      <c r="L285" s="32"/>
      <c r="M285" s="32"/>
      <c r="N285" s="32"/>
      <c r="O285" s="32"/>
      <c r="P285" s="53" t="s">
        <v>299</v>
      </c>
      <c r="Q285" s="82" t="s">
        <v>255</v>
      </c>
      <c r="R285" s="82" t="s">
        <v>50</v>
      </c>
      <c r="S285" s="82" t="s">
        <v>255</v>
      </c>
      <c r="T285" s="32" t="s">
        <v>125</v>
      </c>
      <c r="U285" s="32" t="s">
        <v>314</v>
      </c>
    </row>
    <row r="286" spans="1:21" x14ac:dyDescent="0.25">
      <c r="A286" s="32"/>
      <c r="B286" s="25"/>
      <c r="C286" s="25" t="s">
        <v>302</v>
      </c>
      <c r="D286" s="25"/>
      <c r="E286" s="52" t="s">
        <v>292</v>
      </c>
      <c r="F286" s="53" t="s">
        <v>569</v>
      </c>
      <c r="G286" s="53" t="s">
        <v>62</v>
      </c>
      <c r="H286" s="53" t="s">
        <v>374</v>
      </c>
      <c r="I286" s="53"/>
      <c r="J286" s="54"/>
      <c r="K286" s="54"/>
      <c r="L286" s="54"/>
      <c r="M286" s="32"/>
      <c r="N286" s="32"/>
      <c r="O286" s="32"/>
      <c r="P286" s="32"/>
      <c r="Q286" s="32"/>
      <c r="R286" s="80" t="s">
        <v>429</v>
      </c>
      <c r="S286" s="80"/>
      <c r="T286" s="32" t="s">
        <v>14</v>
      </c>
      <c r="U286" s="32"/>
    </row>
    <row r="287" spans="1:21" x14ac:dyDescent="0.25">
      <c r="A287" s="72"/>
      <c r="B287" s="73"/>
      <c r="C287" s="74"/>
      <c r="D287" s="73"/>
      <c r="E287" s="73"/>
      <c r="F287" s="75"/>
      <c r="G287" s="76"/>
      <c r="H287" s="77"/>
      <c r="I287" s="77"/>
      <c r="J287" s="72"/>
      <c r="K287" s="72"/>
      <c r="L287" s="72"/>
      <c r="M287" s="72"/>
      <c r="N287" s="72"/>
      <c r="O287" s="72"/>
      <c r="P287" s="72"/>
      <c r="Q287" s="72"/>
      <c r="R287" s="78"/>
      <c r="S287" s="78"/>
      <c r="T287" s="72"/>
      <c r="U287" s="72"/>
    </row>
    <row r="288" spans="1:21" x14ac:dyDescent="0.25">
      <c r="A288" s="32">
        <v>49</v>
      </c>
      <c r="B288" s="25"/>
      <c r="C288" s="52" t="s">
        <v>305</v>
      </c>
      <c r="D288" s="25"/>
      <c r="E288" s="52" t="s">
        <v>408</v>
      </c>
      <c r="F288" s="53" t="s">
        <v>306</v>
      </c>
      <c r="G288" s="53" t="s">
        <v>62</v>
      </c>
      <c r="H288" s="53" t="s">
        <v>411</v>
      </c>
      <c r="I288" s="53"/>
      <c r="J288" s="54"/>
      <c r="K288" s="54">
        <v>9.9</v>
      </c>
      <c r="L288" s="54"/>
      <c r="M288" s="32"/>
      <c r="N288" s="32"/>
      <c r="O288" s="32"/>
      <c r="P288" s="53" t="s">
        <v>411</v>
      </c>
      <c r="Q288" s="82" t="s">
        <v>255</v>
      </c>
      <c r="R288" s="56" t="s">
        <v>414</v>
      </c>
      <c r="S288" s="107" t="s">
        <v>244</v>
      </c>
      <c r="T288" s="54" t="s">
        <v>313</v>
      </c>
      <c r="U288" s="32" t="s">
        <v>314</v>
      </c>
    </row>
    <row r="289" spans="1:21" x14ac:dyDescent="0.25">
      <c r="A289" s="32"/>
      <c r="B289" s="25"/>
      <c r="C289" s="52" t="s">
        <v>702</v>
      </c>
      <c r="D289" s="25"/>
      <c r="E289" s="52" t="s">
        <v>409</v>
      </c>
      <c r="F289" s="53" t="s">
        <v>570</v>
      </c>
      <c r="G289" s="53" t="s">
        <v>62</v>
      </c>
      <c r="H289" s="53" t="s">
        <v>411</v>
      </c>
      <c r="I289" s="53"/>
      <c r="J289" s="54"/>
      <c r="K289" s="54">
        <v>4.4530000000000003</v>
      </c>
      <c r="L289" s="54"/>
      <c r="M289" s="32"/>
      <c r="N289" s="32"/>
      <c r="O289" s="32"/>
      <c r="P289" s="53" t="s">
        <v>411</v>
      </c>
      <c r="Q289" s="82" t="s">
        <v>255</v>
      </c>
      <c r="R289" s="56" t="s">
        <v>413</v>
      </c>
      <c r="S289" s="107" t="s">
        <v>244</v>
      </c>
      <c r="T289" s="54" t="s">
        <v>313</v>
      </c>
      <c r="U289" s="32" t="s">
        <v>314</v>
      </c>
    </row>
    <row r="290" spans="1:21" x14ac:dyDescent="0.25">
      <c r="A290" s="32"/>
      <c r="B290" s="25"/>
      <c r="C290" s="52" t="s">
        <v>703</v>
      </c>
      <c r="D290" s="25"/>
      <c r="E290" s="52" t="s">
        <v>410</v>
      </c>
      <c r="F290" s="53" t="s">
        <v>571</v>
      </c>
      <c r="G290" s="88" t="s">
        <v>64</v>
      </c>
      <c r="H290" s="114">
        <v>46088</v>
      </c>
      <c r="I290" s="53"/>
      <c r="J290" s="54"/>
      <c r="K290" s="54"/>
      <c r="L290" s="54"/>
      <c r="M290" s="32"/>
      <c r="N290" s="32"/>
      <c r="O290" s="32"/>
      <c r="P290" s="32"/>
      <c r="Q290" s="32"/>
      <c r="R290" s="56" t="s">
        <v>16</v>
      </c>
      <c r="S290" s="80"/>
      <c r="T290" s="32" t="s">
        <v>125</v>
      </c>
      <c r="U290" s="32"/>
    </row>
    <row r="291" spans="1:21" x14ac:dyDescent="0.25">
      <c r="A291" s="32"/>
      <c r="B291" s="25"/>
      <c r="C291" s="52" t="s">
        <v>704</v>
      </c>
      <c r="D291" s="25"/>
      <c r="E291" s="52" t="s">
        <v>412</v>
      </c>
      <c r="F291" s="53" t="s">
        <v>572</v>
      </c>
      <c r="G291" s="53" t="s">
        <v>184</v>
      </c>
      <c r="H291" s="114">
        <v>46088</v>
      </c>
      <c r="I291" s="53"/>
      <c r="J291" s="54"/>
      <c r="K291" s="54"/>
      <c r="L291" s="54"/>
      <c r="M291" s="32"/>
      <c r="N291" s="32"/>
      <c r="O291" s="32"/>
      <c r="P291" s="32"/>
      <c r="Q291" s="32"/>
      <c r="R291" s="80" t="s">
        <v>33</v>
      </c>
      <c r="S291" s="80"/>
      <c r="T291" s="32" t="s">
        <v>14</v>
      </c>
      <c r="U291" s="32"/>
    </row>
    <row r="292" spans="1:21" x14ac:dyDescent="0.25">
      <c r="A292" s="32"/>
      <c r="B292" s="25"/>
      <c r="C292" s="52" t="s">
        <v>705</v>
      </c>
      <c r="D292" s="25"/>
      <c r="E292" s="52" t="s">
        <v>166</v>
      </c>
      <c r="F292" s="53" t="s">
        <v>573</v>
      </c>
      <c r="G292" s="53" t="s">
        <v>184</v>
      </c>
      <c r="H292" s="114">
        <v>46088</v>
      </c>
      <c r="I292" s="53"/>
      <c r="J292" s="54"/>
      <c r="K292" s="54"/>
      <c r="L292" s="54"/>
      <c r="M292" s="32"/>
      <c r="N292" s="32"/>
      <c r="O292" s="32"/>
      <c r="P292" s="32"/>
      <c r="Q292" s="32"/>
      <c r="R292" s="80" t="s">
        <v>435</v>
      </c>
      <c r="S292" s="80"/>
      <c r="T292" s="32" t="s">
        <v>125</v>
      </c>
      <c r="U292" s="32"/>
    </row>
    <row r="293" spans="1:21" x14ac:dyDescent="0.25">
      <c r="A293" s="72"/>
      <c r="B293" s="73"/>
      <c r="C293" s="74"/>
      <c r="D293" s="73"/>
      <c r="E293" s="73"/>
      <c r="F293" s="75"/>
      <c r="G293" s="76"/>
      <c r="H293" s="77"/>
      <c r="I293" s="77"/>
      <c r="J293" s="72"/>
      <c r="K293" s="72"/>
      <c r="L293" s="72"/>
      <c r="M293" s="72"/>
      <c r="N293" s="72"/>
      <c r="O293" s="72"/>
      <c r="P293" s="72"/>
      <c r="Q293" s="72"/>
      <c r="R293" s="78"/>
      <c r="S293" s="78"/>
      <c r="T293" s="72"/>
      <c r="U293" s="72"/>
    </row>
    <row r="294" spans="1:21" x14ac:dyDescent="0.25">
      <c r="A294" s="32">
        <v>50</v>
      </c>
      <c r="B294" s="25"/>
      <c r="C294" s="167" t="s">
        <v>343</v>
      </c>
      <c r="D294" s="25" t="s">
        <v>303</v>
      </c>
      <c r="E294" s="52" t="s">
        <v>344</v>
      </c>
      <c r="F294" s="53"/>
      <c r="G294" s="53" t="s">
        <v>184</v>
      </c>
      <c r="H294" s="53"/>
      <c r="I294" s="53"/>
      <c r="J294" s="54"/>
      <c r="K294" s="54"/>
      <c r="L294" s="54"/>
      <c r="M294" s="32"/>
      <c r="N294" s="32"/>
      <c r="O294" s="32"/>
      <c r="P294" s="32"/>
      <c r="Q294" s="32"/>
      <c r="R294" s="80" t="s">
        <v>429</v>
      </c>
      <c r="S294" s="80"/>
      <c r="T294" s="54" t="s">
        <v>313</v>
      </c>
      <c r="U294" s="32"/>
    </row>
    <row r="295" spans="1:21" x14ac:dyDescent="0.25">
      <c r="A295" s="32"/>
      <c r="B295" s="25"/>
      <c r="C295" s="167" t="s">
        <v>343</v>
      </c>
      <c r="D295" s="25"/>
      <c r="E295" s="52" t="s">
        <v>107</v>
      </c>
      <c r="F295" s="53" t="s">
        <v>296</v>
      </c>
      <c r="G295" s="53" t="s">
        <v>62</v>
      </c>
      <c r="H295" s="53">
        <v>46362</v>
      </c>
      <c r="I295" s="53"/>
      <c r="J295" s="54"/>
      <c r="K295" s="54"/>
      <c r="L295" s="54"/>
      <c r="M295" s="32"/>
      <c r="N295" s="32"/>
      <c r="O295" s="32"/>
      <c r="P295" s="32"/>
      <c r="Q295" s="32"/>
      <c r="R295" s="80" t="s">
        <v>429</v>
      </c>
      <c r="S295" s="80"/>
      <c r="T295" s="32" t="s">
        <v>125</v>
      </c>
      <c r="U295" s="32"/>
    </row>
    <row r="296" spans="1:21" x14ac:dyDescent="0.25">
      <c r="A296" s="32"/>
      <c r="B296" s="25"/>
      <c r="C296" s="167" t="s">
        <v>343</v>
      </c>
      <c r="D296" s="25"/>
      <c r="E296" s="52" t="s">
        <v>292</v>
      </c>
      <c r="F296" s="53" t="s">
        <v>296</v>
      </c>
      <c r="G296" s="53" t="s">
        <v>62</v>
      </c>
      <c r="H296" s="53" t="s">
        <v>428</v>
      </c>
      <c r="I296" s="53">
        <v>46362</v>
      </c>
      <c r="J296" s="54"/>
      <c r="K296" s="54"/>
      <c r="L296" s="54"/>
      <c r="M296" s="32"/>
      <c r="N296" s="32"/>
      <c r="O296" s="32"/>
      <c r="P296" s="53" t="s">
        <v>432</v>
      </c>
      <c r="Q296" s="82" t="s">
        <v>255</v>
      </c>
      <c r="R296" s="80" t="s">
        <v>16</v>
      </c>
      <c r="S296" s="107" t="s">
        <v>244</v>
      </c>
      <c r="T296" s="32" t="s">
        <v>14</v>
      </c>
      <c r="U296" s="32"/>
    </row>
    <row r="297" spans="1:21" x14ac:dyDescent="0.25">
      <c r="A297" s="32"/>
      <c r="B297" s="25"/>
      <c r="C297" s="167" t="s">
        <v>343</v>
      </c>
      <c r="D297" s="25"/>
      <c r="E297" s="52" t="s">
        <v>346</v>
      </c>
      <c r="F297" s="53" t="s">
        <v>296</v>
      </c>
      <c r="G297" s="53" t="s">
        <v>184</v>
      </c>
      <c r="H297" s="53" t="s">
        <v>297</v>
      </c>
      <c r="I297" s="53"/>
      <c r="J297" s="54"/>
      <c r="K297" s="54"/>
      <c r="L297" s="54"/>
      <c r="M297" s="32"/>
      <c r="N297" s="32"/>
      <c r="O297" s="32"/>
      <c r="P297" s="32"/>
      <c r="Q297" s="32"/>
      <c r="R297" s="80" t="s">
        <v>429</v>
      </c>
      <c r="S297" s="80"/>
      <c r="T297" s="54" t="s">
        <v>313</v>
      </c>
      <c r="U297" s="32"/>
    </row>
    <row r="298" spans="1:21" x14ac:dyDescent="0.25">
      <c r="A298" s="32"/>
      <c r="B298" s="25"/>
      <c r="C298" s="167" t="s">
        <v>343</v>
      </c>
      <c r="D298" s="25"/>
      <c r="E298" s="52" t="s">
        <v>347</v>
      </c>
      <c r="F298" s="53" t="s">
        <v>296</v>
      </c>
      <c r="G298" s="53" t="s">
        <v>184</v>
      </c>
      <c r="H298" s="53" t="s">
        <v>298</v>
      </c>
      <c r="I298" s="53"/>
      <c r="J298" s="54"/>
      <c r="K298" s="54"/>
      <c r="L298" s="54"/>
      <c r="M298" s="32"/>
      <c r="N298" s="32"/>
      <c r="O298" s="32"/>
      <c r="P298" s="32"/>
      <c r="Q298" s="32"/>
      <c r="R298" s="80" t="s">
        <v>429</v>
      </c>
      <c r="S298" s="80"/>
      <c r="T298" s="32" t="s">
        <v>125</v>
      </c>
      <c r="U298" s="32"/>
    </row>
    <row r="299" spans="1:21" x14ac:dyDescent="0.25">
      <c r="A299" s="32"/>
      <c r="B299" s="25"/>
      <c r="C299" s="167" t="s">
        <v>343</v>
      </c>
      <c r="D299" s="25"/>
      <c r="E299" s="52" t="s">
        <v>348</v>
      </c>
      <c r="F299" s="53" t="s">
        <v>296</v>
      </c>
      <c r="G299" s="53" t="s">
        <v>184</v>
      </c>
      <c r="H299" s="53">
        <v>46088</v>
      </c>
      <c r="I299" s="53"/>
      <c r="J299" s="54"/>
      <c r="K299" s="54"/>
      <c r="L299" s="54"/>
      <c r="M299" s="32"/>
      <c r="N299" s="32"/>
      <c r="O299" s="32"/>
      <c r="P299" s="32"/>
      <c r="Q299" s="32"/>
      <c r="R299" s="80" t="s">
        <v>429</v>
      </c>
      <c r="S299" s="80"/>
      <c r="T299" s="32" t="s">
        <v>14</v>
      </c>
      <c r="U299" s="32"/>
    </row>
    <row r="300" spans="1:21" x14ac:dyDescent="0.25">
      <c r="A300" s="32"/>
      <c r="B300" s="25"/>
      <c r="C300" s="167" t="s">
        <v>343</v>
      </c>
      <c r="D300" s="25"/>
      <c r="E300" s="52"/>
      <c r="F300" s="53" t="s">
        <v>296</v>
      </c>
      <c r="G300" s="53" t="s">
        <v>184</v>
      </c>
      <c r="H300" s="53"/>
      <c r="I300" s="53"/>
      <c r="J300" s="54"/>
      <c r="K300" s="54"/>
      <c r="L300" s="54"/>
      <c r="M300" s="32"/>
      <c r="N300" s="32"/>
      <c r="O300" s="32"/>
      <c r="P300" s="32"/>
      <c r="Q300" s="32"/>
      <c r="R300" s="80" t="s">
        <v>429</v>
      </c>
      <c r="S300" s="80"/>
      <c r="T300" s="54" t="s">
        <v>313</v>
      </c>
      <c r="U300" s="32"/>
    </row>
    <row r="301" spans="1:21" ht="21.75" customHeight="1" x14ac:dyDescent="0.25">
      <c r="A301" s="32"/>
      <c r="B301" s="25"/>
      <c r="C301" s="167" t="s">
        <v>343</v>
      </c>
      <c r="D301" s="25"/>
      <c r="E301" s="52" t="s">
        <v>349</v>
      </c>
      <c r="F301" s="53" t="s">
        <v>296</v>
      </c>
      <c r="G301" s="53" t="s">
        <v>184</v>
      </c>
      <c r="H301" s="53"/>
      <c r="I301" s="53"/>
      <c r="J301" s="54"/>
      <c r="K301" s="54"/>
      <c r="L301" s="54"/>
      <c r="M301" s="32"/>
      <c r="N301" s="32"/>
      <c r="O301" s="32"/>
      <c r="P301" s="32"/>
      <c r="Q301" s="32"/>
      <c r="R301" s="80" t="s">
        <v>429</v>
      </c>
      <c r="S301" s="80"/>
      <c r="T301" s="32" t="s">
        <v>125</v>
      </c>
      <c r="U301" s="32"/>
    </row>
    <row r="302" spans="1:21" x14ac:dyDescent="0.25">
      <c r="A302" s="32"/>
      <c r="B302" s="25"/>
      <c r="C302" s="167" t="s">
        <v>343</v>
      </c>
      <c r="D302" s="25"/>
      <c r="E302" s="52" t="s">
        <v>107</v>
      </c>
      <c r="F302" s="53" t="s">
        <v>296</v>
      </c>
      <c r="G302" s="53" t="s">
        <v>62</v>
      </c>
      <c r="H302" s="53" t="s">
        <v>431</v>
      </c>
      <c r="I302" s="53"/>
      <c r="J302" s="54"/>
      <c r="K302" s="54"/>
      <c r="L302" s="54"/>
      <c r="M302" s="32"/>
      <c r="N302" s="32"/>
      <c r="O302" s="32"/>
      <c r="P302" s="32"/>
      <c r="Q302" s="32"/>
      <c r="R302" s="80" t="s">
        <v>50</v>
      </c>
      <c r="S302" s="80"/>
      <c r="T302" s="32" t="s">
        <v>14</v>
      </c>
      <c r="U302" s="32"/>
    </row>
    <row r="303" spans="1:21" x14ac:dyDescent="0.25">
      <c r="A303" s="32"/>
      <c r="B303" s="25"/>
      <c r="C303" s="167" t="s">
        <v>343</v>
      </c>
      <c r="D303" s="25"/>
      <c r="E303" s="52" t="s">
        <v>292</v>
      </c>
      <c r="F303" s="53" t="s">
        <v>296</v>
      </c>
      <c r="G303" s="53" t="s">
        <v>62</v>
      </c>
      <c r="H303" s="53" t="s">
        <v>431</v>
      </c>
      <c r="I303" s="53"/>
      <c r="J303" s="54"/>
      <c r="K303" s="54"/>
      <c r="L303" s="54"/>
      <c r="M303" s="32"/>
      <c r="N303" s="32"/>
      <c r="O303" s="32"/>
      <c r="P303" s="32"/>
      <c r="Q303" s="32"/>
      <c r="R303" s="80" t="s">
        <v>429</v>
      </c>
      <c r="S303" s="80"/>
      <c r="T303" s="54" t="s">
        <v>313</v>
      </c>
      <c r="U303" s="32"/>
    </row>
    <row r="304" spans="1:21" x14ac:dyDescent="0.25">
      <c r="A304" s="32"/>
      <c r="B304" s="25"/>
      <c r="C304" s="167" t="s">
        <v>343</v>
      </c>
      <c r="D304" s="25"/>
      <c r="E304" s="52" t="s">
        <v>346</v>
      </c>
      <c r="F304" s="53" t="s">
        <v>296</v>
      </c>
      <c r="G304" s="53" t="s">
        <v>184</v>
      </c>
      <c r="H304" s="53" t="s">
        <v>297</v>
      </c>
      <c r="I304" s="53"/>
      <c r="J304" s="54"/>
      <c r="K304" s="54"/>
      <c r="L304" s="54"/>
      <c r="M304" s="32"/>
      <c r="N304" s="32"/>
      <c r="O304" s="32"/>
      <c r="P304" s="32"/>
      <c r="Q304" s="32"/>
      <c r="R304" s="80" t="s">
        <v>50</v>
      </c>
      <c r="S304" s="80"/>
      <c r="T304" s="32" t="s">
        <v>125</v>
      </c>
      <c r="U304" s="32"/>
    </row>
    <row r="305" spans="1:21" x14ac:dyDescent="0.25">
      <c r="A305" s="32"/>
      <c r="B305" s="25"/>
      <c r="C305" s="167" t="s">
        <v>343</v>
      </c>
      <c r="D305" s="25"/>
      <c r="E305" s="52" t="s">
        <v>347</v>
      </c>
      <c r="F305" s="53" t="s">
        <v>296</v>
      </c>
      <c r="G305" s="53" t="s">
        <v>184</v>
      </c>
      <c r="H305" s="53" t="s">
        <v>298</v>
      </c>
      <c r="I305" s="30"/>
      <c r="J305" s="54"/>
      <c r="K305" s="54"/>
      <c r="L305" s="54"/>
      <c r="M305" s="32"/>
      <c r="N305" s="32"/>
      <c r="O305" s="32"/>
      <c r="P305" s="32"/>
      <c r="Q305" s="32"/>
      <c r="R305" s="80" t="s">
        <v>50</v>
      </c>
      <c r="S305" s="80"/>
      <c r="T305" s="32" t="s">
        <v>14</v>
      </c>
      <c r="U305" s="32"/>
    </row>
    <row r="306" spans="1:21" x14ac:dyDescent="0.25">
      <c r="A306" s="32"/>
      <c r="B306" s="25"/>
      <c r="C306" s="167" t="s">
        <v>343</v>
      </c>
      <c r="D306" s="25"/>
      <c r="E306" s="52" t="s">
        <v>348</v>
      </c>
      <c r="F306" s="53" t="s">
        <v>296</v>
      </c>
      <c r="G306" s="53" t="s">
        <v>184</v>
      </c>
      <c r="H306" s="53">
        <v>46088</v>
      </c>
      <c r="I306" s="30"/>
      <c r="J306" s="54"/>
      <c r="K306" s="54"/>
      <c r="L306" s="54"/>
      <c r="M306" s="32"/>
      <c r="N306" s="32"/>
      <c r="O306" s="32"/>
      <c r="P306" s="32"/>
      <c r="Q306" s="32"/>
      <c r="R306" s="80" t="s">
        <v>50</v>
      </c>
      <c r="S306" s="80"/>
      <c r="T306" s="54" t="s">
        <v>313</v>
      </c>
      <c r="U306" s="32"/>
    </row>
    <row r="307" spans="1:21" x14ac:dyDescent="0.25">
      <c r="A307" s="32"/>
      <c r="B307" s="25"/>
      <c r="C307" s="167" t="s">
        <v>343</v>
      </c>
      <c r="D307" s="25"/>
      <c r="E307" s="52"/>
      <c r="F307" s="53" t="s">
        <v>296</v>
      </c>
      <c r="G307" s="53" t="s">
        <v>184</v>
      </c>
      <c r="H307" s="53"/>
      <c r="I307" s="30"/>
      <c r="J307" s="54"/>
      <c r="K307" s="54"/>
      <c r="L307" s="54"/>
      <c r="M307" s="32"/>
      <c r="N307" s="32"/>
      <c r="O307" s="32"/>
      <c r="P307" s="32"/>
      <c r="Q307" s="32"/>
      <c r="R307" s="80" t="s">
        <v>50</v>
      </c>
      <c r="S307" s="80"/>
      <c r="T307" s="32" t="s">
        <v>125</v>
      </c>
      <c r="U307" s="32"/>
    </row>
    <row r="308" spans="1:21" x14ac:dyDescent="0.25">
      <c r="A308" s="32"/>
      <c r="B308" s="25"/>
      <c r="C308" s="167" t="s">
        <v>343</v>
      </c>
      <c r="D308" s="25"/>
      <c r="E308" s="52" t="s">
        <v>350</v>
      </c>
      <c r="F308" s="53" t="s">
        <v>296</v>
      </c>
      <c r="G308" s="71" t="s">
        <v>184</v>
      </c>
      <c r="H308" s="53"/>
      <c r="I308" s="30"/>
      <c r="J308" s="54"/>
      <c r="K308" s="54"/>
      <c r="L308" s="54"/>
      <c r="M308" s="32"/>
      <c r="N308" s="32"/>
      <c r="O308" s="32"/>
      <c r="P308" s="32"/>
      <c r="Q308" s="32"/>
      <c r="R308" s="80" t="s">
        <v>50</v>
      </c>
      <c r="S308" s="80"/>
      <c r="T308" s="54" t="s">
        <v>313</v>
      </c>
      <c r="U308" s="32"/>
    </row>
    <row r="309" spans="1:21" x14ac:dyDescent="0.25">
      <c r="A309" s="32"/>
      <c r="B309" s="25"/>
      <c r="C309" s="167" t="s">
        <v>343</v>
      </c>
      <c r="D309" s="25"/>
      <c r="E309" s="52" t="s">
        <v>345</v>
      </c>
      <c r="F309" s="53" t="s">
        <v>296</v>
      </c>
      <c r="G309" s="88" t="s">
        <v>64</v>
      </c>
      <c r="H309" s="53" t="s">
        <v>432</v>
      </c>
      <c r="I309" s="30"/>
      <c r="J309" s="54"/>
      <c r="K309" s="54"/>
      <c r="L309" s="54"/>
      <c r="M309" s="32"/>
      <c r="N309" s="32"/>
      <c r="O309" s="32"/>
      <c r="P309" s="32"/>
      <c r="Q309" s="32"/>
      <c r="R309" s="80" t="s">
        <v>50</v>
      </c>
      <c r="S309" s="80"/>
      <c r="T309" s="32" t="s">
        <v>125</v>
      </c>
      <c r="U309" s="32"/>
    </row>
    <row r="310" spans="1:21" x14ac:dyDescent="0.25">
      <c r="A310" s="32"/>
      <c r="B310" s="25"/>
      <c r="C310" s="167" t="s">
        <v>343</v>
      </c>
      <c r="D310" s="25"/>
      <c r="E310" s="52" t="s">
        <v>346</v>
      </c>
      <c r="F310" s="53" t="s">
        <v>296</v>
      </c>
      <c r="G310" s="53" t="s">
        <v>184</v>
      </c>
      <c r="H310" s="53" t="s">
        <v>297</v>
      </c>
      <c r="I310" s="30"/>
      <c r="J310" s="54"/>
      <c r="K310" s="54"/>
      <c r="L310" s="54"/>
      <c r="M310" s="32"/>
      <c r="N310" s="32"/>
      <c r="O310" s="32"/>
      <c r="P310" s="32"/>
      <c r="Q310" s="32"/>
      <c r="R310" s="80" t="s">
        <v>429</v>
      </c>
      <c r="S310" s="80"/>
      <c r="T310" s="32" t="s">
        <v>14</v>
      </c>
      <c r="U310" s="32"/>
    </row>
    <row r="311" spans="1:21" x14ac:dyDescent="0.25">
      <c r="A311" s="32"/>
      <c r="B311" s="25"/>
      <c r="C311" s="167" t="s">
        <v>343</v>
      </c>
      <c r="D311" s="25"/>
      <c r="E311" s="52" t="s">
        <v>347</v>
      </c>
      <c r="F311" s="53" t="s">
        <v>296</v>
      </c>
      <c r="G311" s="53" t="s">
        <v>184</v>
      </c>
      <c r="H311" s="53" t="s">
        <v>298</v>
      </c>
      <c r="I311" s="30"/>
      <c r="J311" s="54"/>
      <c r="K311" s="54"/>
      <c r="L311" s="54"/>
      <c r="M311" s="32"/>
      <c r="N311" s="32"/>
      <c r="O311" s="32"/>
      <c r="P311" s="32"/>
      <c r="Q311" s="32"/>
      <c r="R311" s="80" t="s">
        <v>433</v>
      </c>
      <c r="S311" s="80"/>
      <c r="T311" s="54" t="s">
        <v>313</v>
      </c>
      <c r="U311" s="32"/>
    </row>
    <row r="312" spans="1:21" x14ac:dyDescent="0.25">
      <c r="A312" s="32"/>
      <c r="B312" s="25"/>
      <c r="C312" s="167" t="s">
        <v>343</v>
      </c>
      <c r="D312" s="25"/>
      <c r="E312" s="52" t="s">
        <v>348</v>
      </c>
      <c r="F312" s="53" t="s">
        <v>296</v>
      </c>
      <c r="G312" s="53" t="s">
        <v>184</v>
      </c>
      <c r="H312" s="53">
        <v>46088</v>
      </c>
      <c r="I312" s="30"/>
      <c r="J312" s="54"/>
      <c r="K312" s="54"/>
      <c r="L312" s="54"/>
      <c r="M312" s="32"/>
      <c r="N312" s="32"/>
      <c r="O312" s="32"/>
      <c r="P312" s="32"/>
      <c r="Q312" s="32"/>
      <c r="R312" s="80" t="s">
        <v>433</v>
      </c>
      <c r="S312" s="80"/>
      <c r="T312" s="32" t="s">
        <v>125</v>
      </c>
      <c r="U312" s="32"/>
    </row>
    <row r="313" spans="1:21" x14ac:dyDescent="0.25">
      <c r="A313" s="32"/>
      <c r="B313" s="25"/>
      <c r="C313" s="167" t="s">
        <v>343</v>
      </c>
      <c r="D313" s="25"/>
      <c r="E313" s="52"/>
      <c r="F313" s="53" t="s">
        <v>296</v>
      </c>
      <c r="G313" s="53" t="s">
        <v>184</v>
      </c>
      <c r="H313" s="53"/>
      <c r="I313" s="53"/>
      <c r="J313" s="54"/>
      <c r="K313" s="54"/>
      <c r="L313" s="54"/>
      <c r="M313" s="32"/>
      <c r="N313" s="32"/>
      <c r="O313" s="32"/>
      <c r="P313" s="32"/>
      <c r="Q313" s="32"/>
      <c r="R313" s="80" t="s">
        <v>429</v>
      </c>
      <c r="S313" s="80"/>
      <c r="T313" s="32" t="s">
        <v>14</v>
      </c>
      <c r="U313" s="32"/>
    </row>
    <row r="314" spans="1:21" x14ac:dyDescent="0.25">
      <c r="A314" s="32"/>
      <c r="B314" s="25"/>
      <c r="C314" s="167" t="s">
        <v>343</v>
      </c>
      <c r="D314" s="25"/>
      <c r="E314" s="52" t="s">
        <v>351</v>
      </c>
      <c r="F314" s="53" t="s">
        <v>296</v>
      </c>
      <c r="G314" s="53" t="s">
        <v>184</v>
      </c>
      <c r="H314" s="53"/>
      <c r="I314" s="53"/>
      <c r="J314" s="54"/>
      <c r="K314" s="54"/>
      <c r="L314" s="54"/>
      <c r="M314" s="32"/>
      <c r="N314" s="32"/>
      <c r="O314" s="32"/>
      <c r="P314" s="32"/>
      <c r="Q314" s="32"/>
      <c r="R314" s="80" t="s">
        <v>429</v>
      </c>
      <c r="S314" s="80"/>
      <c r="T314" s="54" t="s">
        <v>313</v>
      </c>
      <c r="U314" s="32"/>
    </row>
    <row r="315" spans="1:21" x14ac:dyDescent="0.25">
      <c r="A315" s="32"/>
      <c r="B315" s="25"/>
      <c r="C315" s="167" t="s">
        <v>343</v>
      </c>
      <c r="D315" s="25"/>
      <c r="E315" s="52" t="s">
        <v>352</v>
      </c>
      <c r="F315" s="53" t="s">
        <v>296</v>
      </c>
      <c r="G315" s="53" t="s">
        <v>184</v>
      </c>
      <c r="H315" s="53" t="s">
        <v>366</v>
      </c>
      <c r="I315" s="53"/>
      <c r="J315" s="54"/>
      <c r="K315" s="54"/>
      <c r="L315" s="54"/>
      <c r="M315" s="32"/>
      <c r="N315" s="32"/>
      <c r="O315" s="32"/>
      <c r="P315" s="32"/>
      <c r="Q315" s="32"/>
      <c r="R315" s="53" t="s">
        <v>35</v>
      </c>
      <c r="S315" s="80"/>
      <c r="T315" s="32" t="s">
        <v>125</v>
      </c>
      <c r="U315" s="32"/>
    </row>
    <row r="316" spans="1:21" x14ac:dyDescent="0.25">
      <c r="A316" s="32"/>
      <c r="B316" s="25"/>
      <c r="C316" s="167" t="s">
        <v>343</v>
      </c>
      <c r="D316" s="25"/>
      <c r="E316" s="52"/>
      <c r="F316" s="53" t="s">
        <v>296</v>
      </c>
      <c r="G316" s="53" t="s">
        <v>184</v>
      </c>
      <c r="H316" s="53"/>
      <c r="I316" s="53"/>
      <c r="J316" s="54"/>
      <c r="K316" s="54"/>
      <c r="L316" s="54"/>
      <c r="M316" s="32"/>
      <c r="N316" s="32"/>
      <c r="O316" s="32"/>
      <c r="P316" s="32"/>
      <c r="Q316" s="32"/>
      <c r="R316" s="53" t="s">
        <v>35</v>
      </c>
      <c r="S316" s="80"/>
      <c r="T316" s="32" t="s">
        <v>14</v>
      </c>
      <c r="U316" s="32"/>
    </row>
    <row r="317" spans="1:21" x14ac:dyDescent="0.25">
      <c r="A317" s="32"/>
      <c r="B317" s="25"/>
      <c r="C317" s="167" t="s">
        <v>343</v>
      </c>
      <c r="D317" s="25"/>
      <c r="E317" s="52" t="s">
        <v>353</v>
      </c>
      <c r="F317" s="53" t="s">
        <v>296</v>
      </c>
      <c r="G317" s="53" t="s">
        <v>184</v>
      </c>
      <c r="H317" s="53"/>
      <c r="I317" s="53"/>
      <c r="J317" s="54"/>
      <c r="K317" s="54"/>
      <c r="L317" s="54"/>
      <c r="M317" s="32"/>
      <c r="N317" s="32"/>
      <c r="O317" s="32"/>
      <c r="P317" s="32"/>
      <c r="Q317" s="32"/>
      <c r="R317" s="53" t="s">
        <v>35</v>
      </c>
      <c r="S317" s="80"/>
      <c r="T317" s="54" t="s">
        <v>313</v>
      </c>
      <c r="U317" s="32"/>
    </row>
    <row r="318" spans="1:21" x14ac:dyDescent="0.25">
      <c r="A318" s="32"/>
      <c r="B318" s="25"/>
      <c r="C318" s="167" t="s">
        <v>343</v>
      </c>
      <c r="D318" s="25"/>
      <c r="E318" s="52" t="s">
        <v>354</v>
      </c>
      <c r="F318" s="53" t="s">
        <v>296</v>
      </c>
      <c r="G318" s="88" t="s">
        <v>62</v>
      </c>
      <c r="H318" s="53">
        <v>46148</v>
      </c>
      <c r="I318" s="53"/>
      <c r="J318" s="54"/>
      <c r="K318" s="54"/>
      <c r="L318" s="54"/>
      <c r="M318" s="32"/>
      <c r="N318" s="32"/>
      <c r="O318" s="32"/>
      <c r="P318" s="32"/>
      <c r="Q318" s="32"/>
      <c r="R318" s="80" t="s">
        <v>429</v>
      </c>
      <c r="S318" s="80"/>
      <c r="T318" s="32" t="s">
        <v>125</v>
      </c>
      <c r="U318" s="32"/>
    </row>
    <row r="319" spans="1:21" x14ac:dyDescent="0.25">
      <c r="A319" s="32"/>
      <c r="B319" s="25"/>
      <c r="C319" s="167" t="s">
        <v>343</v>
      </c>
      <c r="D319" s="25"/>
      <c r="E319" s="52"/>
      <c r="F319" s="53" t="s">
        <v>296</v>
      </c>
      <c r="G319" s="71" t="s">
        <v>184</v>
      </c>
      <c r="H319" s="53"/>
      <c r="I319" s="53"/>
      <c r="J319" s="54"/>
      <c r="K319" s="54"/>
      <c r="L319" s="54"/>
      <c r="M319" s="32"/>
      <c r="N319" s="32"/>
      <c r="O319" s="32"/>
      <c r="P319" s="32"/>
      <c r="Q319" s="32"/>
      <c r="R319" s="80" t="s">
        <v>429</v>
      </c>
      <c r="S319" s="80"/>
      <c r="T319" s="32" t="s">
        <v>14</v>
      </c>
      <c r="U319" s="32"/>
    </row>
    <row r="320" spans="1:21" x14ac:dyDescent="0.25">
      <c r="A320" s="32"/>
      <c r="B320" s="25"/>
      <c r="C320" s="167" t="s">
        <v>343</v>
      </c>
      <c r="D320" s="25"/>
      <c r="E320" s="52" t="s">
        <v>355</v>
      </c>
      <c r="F320" s="53" t="s">
        <v>296</v>
      </c>
      <c r="G320" s="71" t="s">
        <v>184</v>
      </c>
      <c r="H320" s="53"/>
      <c r="I320" s="53"/>
      <c r="J320" s="54"/>
      <c r="K320" s="54"/>
      <c r="L320" s="54"/>
      <c r="M320" s="32"/>
      <c r="N320" s="32"/>
      <c r="O320" s="32"/>
      <c r="P320" s="32"/>
      <c r="Q320" s="32"/>
      <c r="R320" s="80" t="s">
        <v>429</v>
      </c>
      <c r="S320" s="80"/>
      <c r="T320" s="54" t="s">
        <v>313</v>
      </c>
      <c r="U320" s="32"/>
    </row>
    <row r="321" spans="1:21" x14ac:dyDescent="0.25">
      <c r="A321" s="32"/>
      <c r="B321" s="25"/>
      <c r="C321" s="167" t="s">
        <v>343</v>
      </c>
      <c r="D321" s="25"/>
      <c r="E321" s="52" t="s">
        <v>354</v>
      </c>
      <c r="F321" s="53" t="s">
        <v>296</v>
      </c>
      <c r="G321" s="88" t="s">
        <v>64</v>
      </c>
      <c r="H321" s="53">
        <v>46302</v>
      </c>
      <c r="I321" s="53"/>
      <c r="J321" s="54"/>
      <c r="K321" s="54"/>
      <c r="L321" s="54"/>
      <c r="M321" s="32"/>
      <c r="N321" s="32"/>
      <c r="O321" s="32"/>
      <c r="P321" s="32"/>
      <c r="Q321" s="32"/>
      <c r="R321" s="53" t="s">
        <v>492</v>
      </c>
      <c r="S321" s="80"/>
      <c r="T321" s="32" t="s">
        <v>125</v>
      </c>
      <c r="U321" s="32"/>
    </row>
    <row r="322" spans="1:21" x14ac:dyDescent="0.25">
      <c r="A322" s="32"/>
      <c r="B322" s="25"/>
      <c r="C322" s="167" t="s">
        <v>343</v>
      </c>
      <c r="D322" s="25"/>
      <c r="E322" s="52"/>
      <c r="F322" s="53" t="s">
        <v>296</v>
      </c>
      <c r="G322" s="71" t="s">
        <v>184</v>
      </c>
      <c r="H322" s="53">
        <v>46302</v>
      </c>
      <c r="I322" s="53"/>
      <c r="J322" s="54"/>
      <c r="K322" s="54"/>
      <c r="L322" s="54"/>
      <c r="M322" s="32"/>
      <c r="N322" s="32"/>
      <c r="O322" s="32"/>
      <c r="P322" s="32"/>
      <c r="Q322" s="32"/>
      <c r="R322" s="53" t="s">
        <v>492</v>
      </c>
      <c r="S322" s="80"/>
      <c r="T322" s="54" t="s">
        <v>313</v>
      </c>
      <c r="U322" s="32"/>
    </row>
    <row r="323" spans="1:21" x14ac:dyDescent="0.25">
      <c r="A323" s="32"/>
      <c r="B323" s="25"/>
      <c r="C323" s="167" t="s">
        <v>343</v>
      </c>
      <c r="D323" s="25"/>
      <c r="E323" s="52" t="s">
        <v>356</v>
      </c>
      <c r="F323" s="53" t="s">
        <v>296</v>
      </c>
      <c r="G323" s="71" t="s">
        <v>184</v>
      </c>
      <c r="H323" s="53">
        <v>46302</v>
      </c>
      <c r="I323" s="53"/>
      <c r="J323" s="54"/>
      <c r="K323" s="54"/>
      <c r="L323" s="54"/>
      <c r="M323" s="32"/>
      <c r="N323" s="32"/>
      <c r="O323" s="32"/>
      <c r="P323" s="32"/>
      <c r="Q323" s="32"/>
      <c r="R323" s="53" t="s">
        <v>492</v>
      </c>
      <c r="S323" s="80"/>
      <c r="T323" s="54" t="s">
        <v>313</v>
      </c>
      <c r="U323" s="32"/>
    </row>
    <row r="324" spans="1:21" x14ac:dyDescent="0.25">
      <c r="A324" s="32"/>
      <c r="B324" s="25"/>
      <c r="C324" s="167" t="s">
        <v>343</v>
      </c>
      <c r="D324" s="25"/>
      <c r="E324" s="52" t="s">
        <v>354</v>
      </c>
      <c r="F324" s="53" t="s">
        <v>296</v>
      </c>
      <c r="G324" s="88" t="s">
        <v>64</v>
      </c>
      <c r="H324" s="53">
        <v>46302</v>
      </c>
      <c r="I324" s="53"/>
      <c r="J324" s="54"/>
      <c r="K324" s="54"/>
      <c r="L324" s="54"/>
      <c r="M324" s="32"/>
      <c r="N324" s="32"/>
      <c r="O324" s="32"/>
      <c r="P324" s="32"/>
      <c r="Q324" s="32"/>
      <c r="R324" s="53" t="s">
        <v>35</v>
      </c>
      <c r="S324" s="80"/>
      <c r="T324" s="32" t="s">
        <v>125</v>
      </c>
      <c r="U324" s="32"/>
    </row>
    <row r="325" spans="1:21" x14ac:dyDescent="0.25">
      <c r="A325" s="32"/>
      <c r="B325" s="25"/>
      <c r="C325" s="167" t="s">
        <v>343</v>
      </c>
      <c r="D325" s="25"/>
      <c r="E325" s="52"/>
      <c r="F325" s="53" t="s">
        <v>296</v>
      </c>
      <c r="G325" s="71" t="s">
        <v>184</v>
      </c>
      <c r="H325" s="53">
        <v>46302</v>
      </c>
      <c r="I325" s="53"/>
      <c r="J325" s="54"/>
      <c r="K325" s="54"/>
      <c r="L325" s="54"/>
      <c r="M325" s="32"/>
      <c r="N325" s="32"/>
      <c r="O325" s="32"/>
      <c r="P325" s="32"/>
      <c r="Q325" s="32"/>
      <c r="R325" s="53" t="s">
        <v>35</v>
      </c>
      <c r="S325" s="80"/>
      <c r="T325" s="32" t="s">
        <v>14</v>
      </c>
      <c r="U325" s="32"/>
    </row>
    <row r="326" spans="1:21" x14ac:dyDescent="0.25">
      <c r="A326" s="32"/>
      <c r="B326" s="25"/>
      <c r="C326" s="167" t="s">
        <v>343</v>
      </c>
      <c r="D326" s="25"/>
      <c r="E326" s="52" t="s">
        <v>357</v>
      </c>
      <c r="F326" s="53" t="s">
        <v>296</v>
      </c>
      <c r="G326" s="71" t="s">
        <v>184</v>
      </c>
      <c r="H326" s="53">
        <v>46302</v>
      </c>
      <c r="I326" s="53"/>
      <c r="J326" s="54"/>
      <c r="K326" s="54"/>
      <c r="L326" s="54"/>
      <c r="M326" s="32"/>
      <c r="N326" s="32"/>
      <c r="O326" s="32"/>
      <c r="P326" s="32"/>
      <c r="Q326" s="32"/>
      <c r="R326" s="53" t="s">
        <v>35</v>
      </c>
      <c r="S326" s="80"/>
      <c r="T326" s="54" t="s">
        <v>313</v>
      </c>
      <c r="U326" s="32"/>
    </row>
    <row r="327" spans="1:21" x14ac:dyDescent="0.25">
      <c r="A327" s="32"/>
      <c r="B327" s="25"/>
      <c r="C327" s="167" t="s">
        <v>343</v>
      </c>
      <c r="D327" s="25"/>
      <c r="E327" s="52" t="s">
        <v>53</v>
      </c>
      <c r="F327" s="53" t="s">
        <v>296</v>
      </c>
      <c r="G327" s="88" t="s">
        <v>64</v>
      </c>
      <c r="H327" s="53">
        <v>46302</v>
      </c>
      <c r="I327" s="53"/>
      <c r="J327" s="54"/>
      <c r="K327" s="54"/>
      <c r="L327" s="54"/>
      <c r="M327" s="32"/>
      <c r="N327" s="32"/>
      <c r="O327" s="32"/>
      <c r="P327" s="32"/>
      <c r="Q327" s="32"/>
      <c r="R327" s="53" t="s">
        <v>35</v>
      </c>
      <c r="S327" s="80"/>
      <c r="T327" s="32" t="s">
        <v>125</v>
      </c>
      <c r="U327" s="32"/>
    </row>
    <row r="328" spans="1:21" x14ac:dyDescent="0.25">
      <c r="A328" s="32"/>
      <c r="B328" s="25"/>
      <c r="C328" s="167" t="s">
        <v>343</v>
      </c>
      <c r="D328" s="25"/>
      <c r="E328" s="52"/>
      <c r="F328" s="53" t="s">
        <v>296</v>
      </c>
      <c r="G328" s="71" t="s">
        <v>184</v>
      </c>
      <c r="H328" s="53">
        <v>46302</v>
      </c>
      <c r="I328" s="53"/>
      <c r="J328" s="54"/>
      <c r="K328" s="54"/>
      <c r="L328" s="54"/>
      <c r="M328" s="32"/>
      <c r="N328" s="32"/>
      <c r="O328" s="32"/>
      <c r="P328" s="32"/>
      <c r="Q328" s="32"/>
      <c r="R328" s="53" t="s">
        <v>35</v>
      </c>
      <c r="S328" s="80"/>
      <c r="T328" s="32" t="s">
        <v>14</v>
      </c>
      <c r="U328" s="32"/>
    </row>
    <row r="329" spans="1:21" x14ac:dyDescent="0.25">
      <c r="A329" s="32"/>
      <c r="B329" s="25"/>
      <c r="C329" s="167" t="s">
        <v>343</v>
      </c>
      <c r="D329" s="25"/>
      <c r="E329" s="52" t="s">
        <v>358</v>
      </c>
      <c r="F329" s="53" t="s">
        <v>296</v>
      </c>
      <c r="G329" s="71" t="s">
        <v>184</v>
      </c>
      <c r="H329" s="53">
        <v>46302</v>
      </c>
      <c r="I329" s="53"/>
      <c r="J329" s="54"/>
      <c r="K329" s="54"/>
      <c r="L329" s="54"/>
      <c r="M329" s="32"/>
      <c r="N329" s="32"/>
      <c r="O329" s="32"/>
      <c r="P329" s="32"/>
      <c r="Q329" s="32"/>
      <c r="R329" s="53" t="s">
        <v>35</v>
      </c>
      <c r="S329" s="80"/>
      <c r="T329" s="54" t="s">
        <v>313</v>
      </c>
      <c r="U329" s="32"/>
    </row>
    <row r="330" spans="1:21" x14ac:dyDescent="0.25">
      <c r="A330" s="32"/>
      <c r="B330" s="83"/>
      <c r="C330" s="167" t="s">
        <v>343</v>
      </c>
      <c r="D330" s="25"/>
      <c r="E330" s="52" t="s">
        <v>352</v>
      </c>
      <c r="F330" s="53" t="s">
        <v>296</v>
      </c>
      <c r="G330" s="71" t="s">
        <v>184</v>
      </c>
      <c r="H330" s="53">
        <v>46302</v>
      </c>
      <c r="I330" s="53"/>
      <c r="J330" s="53"/>
      <c r="K330" s="87"/>
      <c r="L330" s="53"/>
      <c r="M330" s="79"/>
      <c r="N330" s="53"/>
      <c r="O330" s="79"/>
      <c r="P330" s="79"/>
      <c r="Q330" s="79"/>
      <c r="R330" s="53" t="s">
        <v>35</v>
      </c>
      <c r="S330" s="53"/>
      <c r="T330" s="32" t="s">
        <v>125</v>
      </c>
      <c r="U330" s="79"/>
    </row>
    <row r="331" spans="1:21" x14ac:dyDescent="0.25">
      <c r="A331" s="32"/>
      <c r="B331" s="83"/>
      <c r="C331" s="167" t="s">
        <v>343</v>
      </c>
      <c r="D331" s="25"/>
      <c r="E331" s="52"/>
      <c r="F331" s="53" t="s">
        <v>296</v>
      </c>
      <c r="G331" s="71" t="s">
        <v>184</v>
      </c>
      <c r="H331" s="53">
        <v>46302</v>
      </c>
      <c r="I331" s="53"/>
      <c r="J331" s="53"/>
      <c r="K331" s="87"/>
      <c r="L331" s="53"/>
      <c r="M331" s="79"/>
      <c r="N331" s="53"/>
      <c r="O331" s="79"/>
      <c r="P331" s="79"/>
      <c r="Q331" s="79"/>
      <c r="R331" s="53" t="s">
        <v>35</v>
      </c>
      <c r="S331" s="53"/>
      <c r="T331" s="32" t="s">
        <v>14</v>
      </c>
      <c r="U331" s="79"/>
    </row>
    <row r="332" spans="1:21" x14ac:dyDescent="0.25">
      <c r="A332" s="32"/>
      <c r="B332" s="83"/>
      <c r="C332" s="167" t="s">
        <v>343</v>
      </c>
      <c r="D332" s="25"/>
      <c r="E332" s="52" t="s">
        <v>359</v>
      </c>
      <c r="F332" s="53" t="s">
        <v>296</v>
      </c>
      <c r="G332" s="71" t="s">
        <v>184</v>
      </c>
      <c r="H332" s="53">
        <v>46302</v>
      </c>
      <c r="I332" s="53"/>
      <c r="J332" s="53"/>
      <c r="K332" s="87"/>
      <c r="L332" s="53"/>
      <c r="M332" s="79"/>
      <c r="N332" s="53"/>
      <c r="O332" s="79"/>
      <c r="P332" s="79"/>
      <c r="Q332" s="79"/>
      <c r="R332" s="53" t="s">
        <v>35</v>
      </c>
      <c r="S332" s="53"/>
      <c r="T332" s="54" t="s">
        <v>313</v>
      </c>
      <c r="U332" s="79"/>
    </row>
    <row r="333" spans="1:21" x14ac:dyDescent="0.25">
      <c r="A333" s="32"/>
      <c r="B333" s="83"/>
      <c r="C333" s="167" t="s">
        <v>343</v>
      </c>
      <c r="D333" s="25"/>
      <c r="E333" s="52" t="s">
        <v>360</v>
      </c>
      <c r="F333" s="53" t="s">
        <v>296</v>
      </c>
      <c r="G333" s="71" t="s">
        <v>184</v>
      </c>
      <c r="H333" s="53">
        <v>46302</v>
      </c>
      <c r="I333" s="53"/>
      <c r="J333" s="53"/>
      <c r="K333" s="87"/>
      <c r="L333" s="53"/>
      <c r="M333" s="79"/>
      <c r="N333" s="53"/>
      <c r="O333" s="79"/>
      <c r="P333" s="79"/>
      <c r="Q333" s="79"/>
      <c r="R333" s="53" t="s">
        <v>35</v>
      </c>
      <c r="S333" s="53"/>
      <c r="T333" s="32" t="s">
        <v>125</v>
      </c>
      <c r="U333" s="79"/>
    </row>
    <row r="334" spans="1:21" x14ac:dyDescent="0.25">
      <c r="A334" s="32"/>
      <c r="B334" s="83"/>
      <c r="C334" s="167" t="s">
        <v>343</v>
      </c>
      <c r="D334" s="25"/>
      <c r="E334" s="52"/>
      <c r="F334" s="53" t="s">
        <v>296</v>
      </c>
      <c r="G334" s="71" t="s">
        <v>184</v>
      </c>
      <c r="H334" s="53">
        <v>46302</v>
      </c>
      <c r="I334" s="53"/>
      <c r="J334" s="53"/>
      <c r="K334" s="87"/>
      <c r="L334" s="53"/>
      <c r="M334" s="79"/>
      <c r="N334" s="53"/>
      <c r="O334" s="79"/>
      <c r="P334" s="79"/>
      <c r="Q334" s="79"/>
      <c r="R334" s="53" t="s">
        <v>35</v>
      </c>
      <c r="S334" s="53"/>
      <c r="T334" s="32" t="s">
        <v>14</v>
      </c>
      <c r="U334" s="79"/>
    </row>
    <row r="335" spans="1:21" x14ac:dyDescent="0.25">
      <c r="A335" s="32"/>
      <c r="B335" s="83"/>
      <c r="C335" s="167" t="s">
        <v>343</v>
      </c>
      <c r="D335" s="25"/>
      <c r="E335" s="52" t="s">
        <v>361</v>
      </c>
      <c r="F335" s="53" t="s">
        <v>296</v>
      </c>
      <c r="G335" s="71" t="s">
        <v>184</v>
      </c>
      <c r="H335" s="53">
        <v>46302</v>
      </c>
      <c r="I335" s="53"/>
      <c r="J335" s="53"/>
      <c r="K335" s="87"/>
      <c r="L335" s="53"/>
      <c r="M335" s="79"/>
      <c r="N335" s="53"/>
      <c r="O335" s="79"/>
      <c r="P335" s="79"/>
      <c r="Q335" s="79"/>
      <c r="R335" s="53" t="s">
        <v>35</v>
      </c>
      <c r="S335" s="53"/>
      <c r="T335" s="54" t="s">
        <v>313</v>
      </c>
      <c r="U335" s="79"/>
    </row>
    <row r="336" spans="1:21" x14ac:dyDescent="0.25">
      <c r="A336" s="32"/>
      <c r="B336" s="83"/>
      <c r="C336" s="167" t="s">
        <v>343</v>
      </c>
      <c r="D336" s="25"/>
      <c r="E336" s="52" t="s">
        <v>352</v>
      </c>
      <c r="F336" s="53" t="s">
        <v>296</v>
      </c>
      <c r="G336" s="71" t="s">
        <v>184</v>
      </c>
      <c r="H336" s="53">
        <v>46302</v>
      </c>
      <c r="I336" s="53"/>
      <c r="J336" s="53"/>
      <c r="K336" s="87"/>
      <c r="L336" s="53"/>
      <c r="M336" s="79"/>
      <c r="N336" s="53"/>
      <c r="O336" s="79"/>
      <c r="P336" s="79"/>
      <c r="Q336" s="79"/>
      <c r="R336" s="53" t="s">
        <v>35</v>
      </c>
      <c r="S336" s="53"/>
      <c r="T336" s="32" t="s">
        <v>125</v>
      </c>
      <c r="U336" s="79"/>
    </row>
    <row r="337" spans="1:21" x14ac:dyDescent="0.25">
      <c r="A337" s="32"/>
      <c r="B337" s="83"/>
      <c r="C337" s="167" t="s">
        <v>343</v>
      </c>
      <c r="D337" s="25"/>
      <c r="E337" s="52"/>
      <c r="F337" s="53" t="s">
        <v>296</v>
      </c>
      <c r="G337" s="71" t="s">
        <v>184</v>
      </c>
      <c r="H337" s="53">
        <v>46302</v>
      </c>
      <c r="I337" s="53"/>
      <c r="J337" s="53"/>
      <c r="K337" s="87"/>
      <c r="L337" s="53"/>
      <c r="M337" s="79"/>
      <c r="N337" s="53"/>
      <c r="O337" s="79"/>
      <c r="P337" s="79"/>
      <c r="Q337" s="79"/>
      <c r="R337" s="53" t="s">
        <v>35</v>
      </c>
      <c r="S337" s="53"/>
      <c r="T337" s="54" t="s">
        <v>313</v>
      </c>
      <c r="U337" s="79"/>
    </row>
    <row r="338" spans="1:21" x14ac:dyDescent="0.25">
      <c r="A338" s="32"/>
      <c r="B338" s="83"/>
      <c r="C338" s="167" t="s">
        <v>343</v>
      </c>
      <c r="D338" s="25"/>
      <c r="E338" s="52" t="s">
        <v>362</v>
      </c>
      <c r="F338" s="53" t="s">
        <v>296</v>
      </c>
      <c r="G338" s="71" t="s">
        <v>184</v>
      </c>
      <c r="H338" s="53">
        <v>46302</v>
      </c>
      <c r="I338" s="53"/>
      <c r="J338" s="53"/>
      <c r="K338" s="87"/>
      <c r="L338" s="53"/>
      <c r="M338" s="79"/>
      <c r="N338" s="53"/>
      <c r="O338" s="79"/>
      <c r="P338" s="79"/>
      <c r="Q338" s="79"/>
      <c r="R338" s="53" t="s">
        <v>35</v>
      </c>
      <c r="S338" s="53"/>
      <c r="T338" s="32" t="s">
        <v>125</v>
      </c>
      <c r="U338" s="79"/>
    </row>
    <row r="339" spans="1:21" x14ac:dyDescent="0.25">
      <c r="A339" s="32"/>
      <c r="B339" s="83"/>
      <c r="C339" s="25" t="s">
        <v>343</v>
      </c>
      <c r="D339" s="25"/>
      <c r="E339" s="52" t="s">
        <v>360</v>
      </c>
      <c r="F339" s="53" t="s">
        <v>296</v>
      </c>
      <c r="G339" s="71" t="s">
        <v>184</v>
      </c>
      <c r="H339" s="53" t="s">
        <v>367</v>
      </c>
      <c r="I339" s="53"/>
      <c r="J339" s="53"/>
      <c r="K339" s="87"/>
      <c r="L339" s="53"/>
      <c r="M339" s="79"/>
      <c r="N339" s="53"/>
      <c r="O339" s="79"/>
      <c r="P339" s="79"/>
      <c r="Q339" s="79"/>
      <c r="R339" s="53" t="s">
        <v>35</v>
      </c>
      <c r="S339" s="53"/>
      <c r="T339" s="54" t="s">
        <v>313</v>
      </c>
      <c r="U339" s="79"/>
    </row>
    <row r="340" spans="1:21" x14ac:dyDescent="0.25">
      <c r="A340" s="32"/>
      <c r="B340" s="83"/>
      <c r="C340" s="25" t="s">
        <v>343</v>
      </c>
      <c r="D340" s="25"/>
      <c r="E340" s="52"/>
      <c r="F340" s="53" t="s">
        <v>296</v>
      </c>
      <c r="G340" s="71" t="s">
        <v>184</v>
      </c>
      <c r="H340" s="53" t="s">
        <v>367</v>
      </c>
      <c r="I340" s="53"/>
      <c r="J340" s="53"/>
      <c r="K340" s="87"/>
      <c r="L340" s="53"/>
      <c r="M340" s="79"/>
      <c r="N340" s="53"/>
      <c r="O340" s="79"/>
      <c r="P340" s="79"/>
      <c r="Q340" s="79"/>
      <c r="R340" s="53" t="s">
        <v>35</v>
      </c>
      <c r="S340" s="53"/>
      <c r="T340" s="32" t="s">
        <v>125</v>
      </c>
      <c r="U340" s="79"/>
    </row>
    <row r="341" spans="1:21" x14ac:dyDescent="0.25">
      <c r="A341" s="32"/>
      <c r="B341" s="83"/>
      <c r="C341" s="25" t="s">
        <v>343</v>
      </c>
      <c r="D341" s="25"/>
      <c r="E341" s="52" t="s">
        <v>363</v>
      </c>
      <c r="F341" s="53" t="s">
        <v>296</v>
      </c>
      <c r="G341" s="71" t="s">
        <v>184</v>
      </c>
      <c r="H341" s="53" t="s">
        <v>367</v>
      </c>
      <c r="I341" s="53"/>
      <c r="J341" s="53"/>
      <c r="K341" s="87"/>
      <c r="L341" s="53"/>
      <c r="M341" s="79"/>
      <c r="N341" s="53"/>
      <c r="O341" s="79"/>
      <c r="P341" s="79"/>
      <c r="Q341" s="79"/>
      <c r="R341" s="53" t="s">
        <v>35</v>
      </c>
      <c r="S341" s="53"/>
      <c r="T341" s="32" t="s">
        <v>14</v>
      </c>
      <c r="U341" s="79"/>
    </row>
    <row r="342" spans="1:21" x14ac:dyDescent="0.25">
      <c r="A342" s="32"/>
      <c r="B342" s="83"/>
      <c r="C342" s="25" t="s">
        <v>343</v>
      </c>
      <c r="D342" s="25"/>
      <c r="E342" s="52" t="s">
        <v>352</v>
      </c>
      <c r="F342" s="53" t="s">
        <v>296</v>
      </c>
      <c r="G342" s="71" t="s">
        <v>184</v>
      </c>
      <c r="H342" s="53" t="s">
        <v>367</v>
      </c>
      <c r="I342" s="53"/>
      <c r="J342" s="53"/>
      <c r="K342" s="87"/>
      <c r="L342" s="53"/>
      <c r="M342" s="79"/>
      <c r="N342" s="53"/>
      <c r="O342" s="79"/>
      <c r="P342" s="79"/>
      <c r="Q342" s="79"/>
      <c r="R342" s="53" t="s">
        <v>35</v>
      </c>
      <c r="S342" s="53"/>
      <c r="T342" s="54" t="s">
        <v>313</v>
      </c>
      <c r="U342" s="79"/>
    </row>
    <row r="343" spans="1:21" x14ac:dyDescent="0.25">
      <c r="A343" s="32"/>
      <c r="B343" s="83"/>
      <c r="C343" s="25" t="s">
        <v>343</v>
      </c>
      <c r="D343" s="25"/>
      <c r="E343" s="52"/>
      <c r="F343" s="53" t="s">
        <v>296</v>
      </c>
      <c r="G343" s="71" t="s">
        <v>184</v>
      </c>
      <c r="H343" s="53" t="s">
        <v>367</v>
      </c>
      <c r="I343" s="53"/>
      <c r="J343" s="53"/>
      <c r="K343" s="87"/>
      <c r="L343" s="53"/>
      <c r="M343" s="79"/>
      <c r="N343" s="53"/>
      <c r="O343" s="79"/>
      <c r="P343" s="79"/>
      <c r="Q343" s="79"/>
      <c r="R343" s="53" t="s">
        <v>35</v>
      </c>
      <c r="S343" s="53"/>
      <c r="T343" s="32" t="s">
        <v>125</v>
      </c>
      <c r="U343" s="79"/>
    </row>
    <row r="344" spans="1:21" x14ac:dyDescent="0.25">
      <c r="A344" s="32"/>
      <c r="B344" s="83"/>
      <c r="C344" s="25" t="s">
        <v>343</v>
      </c>
      <c r="D344" s="25"/>
      <c r="E344" s="52" t="s">
        <v>364</v>
      </c>
      <c r="F344" s="53" t="s">
        <v>296</v>
      </c>
      <c r="G344" s="71" t="s">
        <v>184</v>
      </c>
      <c r="H344" s="53" t="s">
        <v>367</v>
      </c>
      <c r="I344" s="53"/>
      <c r="J344" s="53"/>
      <c r="K344" s="87"/>
      <c r="L344" s="53"/>
      <c r="M344" s="79"/>
      <c r="N344" s="53"/>
      <c r="O344" s="79"/>
      <c r="P344" s="79"/>
      <c r="Q344" s="79"/>
      <c r="R344" s="53" t="s">
        <v>35</v>
      </c>
      <c r="S344" s="53"/>
      <c r="T344" s="32" t="s">
        <v>14</v>
      </c>
      <c r="U344" s="79"/>
    </row>
    <row r="345" spans="1:21" x14ac:dyDescent="0.25">
      <c r="A345" s="32"/>
      <c r="B345" s="83"/>
      <c r="C345" s="25" t="s">
        <v>343</v>
      </c>
      <c r="D345" s="25"/>
      <c r="E345" s="52" t="s">
        <v>352</v>
      </c>
      <c r="F345" s="53" t="s">
        <v>296</v>
      </c>
      <c r="G345" s="71" t="s">
        <v>184</v>
      </c>
      <c r="H345" s="53" t="s">
        <v>367</v>
      </c>
      <c r="I345" s="53"/>
      <c r="J345" s="53"/>
      <c r="K345" s="87"/>
      <c r="L345" s="53"/>
      <c r="M345" s="79"/>
      <c r="N345" s="53"/>
      <c r="O345" s="79"/>
      <c r="P345" s="79"/>
      <c r="Q345" s="79"/>
      <c r="R345" s="53" t="s">
        <v>35</v>
      </c>
      <c r="S345" s="53"/>
      <c r="T345" s="54" t="s">
        <v>313</v>
      </c>
      <c r="U345" s="79"/>
    </row>
    <row r="346" spans="1:21" x14ac:dyDescent="0.25">
      <c r="A346" s="32"/>
      <c r="B346" s="83"/>
      <c r="C346" s="25" t="s">
        <v>343</v>
      </c>
      <c r="D346" s="25"/>
      <c r="E346" s="52"/>
      <c r="F346" s="53" t="s">
        <v>296</v>
      </c>
      <c r="G346" s="71" t="s">
        <v>184</v>
      </c>
      <c r="H346" s="53" t="s">
        <v>367</v>
      </c>
      <c r="I346" s="53"/>
      <c r="J346" s="53"/>
      <c r="K346" s="87"/>
      <c r="L346" s="53"/>
      <c r="M346" s="79"/>
      <c r="N346" s="53"/>
      <c r="O346" s="79"/>
      <c r="P346" s="79"/>
      <c r="Q346" s="79"/>
      <c r="R346" s="53" t="s">
        <v>35</v>
      </c>
      <c r="S346" s="53"/>
      <c r="T346" s="32" t="s">
        <v>125</v>
      </c>
      <c r="U346" s="79"/>
    </row>
    <row r="347" spans="1:21" x14ac:dyDescent="0.25">
      <c r="A347" s="32"/>
      <c r="B347" s="83"/>
      <c r="C347" s="25" t="s">
        <v>343</v>
      </c>
      <c r="D347" s="25"/>
      <c r="E347" s="52" t="s">
        <v>365</v>
      </c>
      <c r="F347" s="53" t="s">
        <v>296</v>
      </c>
      <c r="G347" s="88" t="s">
        <v>62</v>
      </c>
      <c r="H347" s="53">
        <v>46362</v>
      </c>
      <c r="I347" s="53"/>
      <c r="J347" s="53"/>
      <c r="K347" s="87">
        <v>29.997</v>
      </c>
      <c r="L347" s="53"/>
      <c r="M347" s="79"/>
      <c r="N347" s="53"/>
      <c r="O347" s="79"/>
      <c r="P347" s="53">
        <v>46332</v>
      </c>
      <c r="Q347" s="82" t="s">
        <v>255</v>
      </c>
      <c r="R347" s="53" t="s">
        <v>35</v>
      </c>
      <c r="S347" s="82" t="s">
        <v>255</v>
      </c>
      <c r="T347" s="54" t="s">
        <v>269</v>
      </c>
      <c r="U347" s="79"/>
    </row>
    <row r="348" spans="1:21" x14ac:dyDescent="0.25">
      <c r="A348" s="32"/>
      <c r="B348" s="83"/>
      <c r="C348" s="25" t="s">
        <v>343</v>
      </c>
      <c r="D348" s="25"/>
      <c r="E348" s="52" t="s">
        <v>352</v>
      </c>
      <c r="F348" s="53" t="s">
        <v>296</v>
      </c>
      <c r="G348" s="88" t="s">
        <v>62</v>
      </c>
      <c r="H348" s="53">
        <v>46362</v>
      </c>
      <c r="I348" s="53">
        <v>46148</v>
      </c>
      <c r="J348" s="53"/>
      <c r="K348" s="87"/>
      <c r="L348" s="53"/>
      <c r="M348" s="79"/>
      <c r="N348" s="53"/>
      <c r="O348" s="79"/>
      <c r="P348" s="79"/>
      <c r="Q348" s="79"/>
      <c r="R348" s="53" t="s">
        <v>35</v>
      </c>
      <c r="S348" s="53"/>
      <c r="T348" s="53"/>
      <c r="U348" s="79"/>
    </row>
    <row r="349" spans="1:21" x14ac:dyDescent="0.25">
      <c r="A349" s="72"/>
      <c r="B349" s="73"/>
      <c r="C349" s="74"/>
      <c r="D349" s="73"/>
      <c r="E349" s="73"/>
      <c r="F349" s="75"/>
      <c r="G349" s="76"/>
      <c r="H349" s="77"/>
      <c r="I349" s="77"/>
      <c r="J349" s="72"/>
      <c r="K349" s="72"/>
      <c r="L349" s="72"/>
      <c r="M349" s="72"/>
      <c r="N349" s="72"/>
      <c r="O349" s="72"/>
      <c r="P349" s="72"/>
      <c r="Q349" s="72"/>
      <c r="R349" s="78"/>
      <c r="S349" s="78"/>
      <c r="T349" s="72"/>
      <c r="U349" s="72"/>
    </row>
    <row r="350" spans="1:21" x14ac:dyDescent="0.25">
      <c r="A350" s="32">
        <v>51</v>
      </c>
      <c r="B350" s="83"/>
      <c r="C350" s="25" t="s">
        <v>370</v>
      </c>
      <c r="D350" s="25" t="s">
        <v>303</v>
      </c>
      <c r="E350" s="52" t="s">
        <v>371</v>
      </c>
      <c r="F350" s="53" t="s">
        <v>374</v>
      </c>
      <c r="G350" s="115" t="s">
        <v>62</v>
      </c>
      <c r="H350" s="53">
        <v>46178</v>
      </c>
      <c r="I350" s="53"/>
      <c r="J350" s="53"/>
      <c r="K350" s="87"/>
      <c r="L350" s="53"/>
      <c r="M350" s="79"/>
      <c r="N350" s="53"/>
      <c r="O350" s="79"/>
      <c r="P350" s="79"/>
      <c r="Q350" s="79"/>
      <c r="R350" s="53" t="s">
        <v>17</v>
      </c>
      <c r="S350" s="53"/>
      <c r="T350" s="32" t="s">
        <v>125</v>
      </c>
      <c r="U350" s="79"/>
    </row>
    <row r="351" spans="1:21" x14ac:dyDescent="0.25">
      <c r="A351" s="32"/>
      <c r="B351" s="83"/>
      <c r="C351" s="25" t="s">
        <v>370</v>
      </c>
      <c r="D351" s="25"/>
      <c r="E351" s="52" t="s">
        <v>292</v>
      </c>
      <c r="F351" s="53" t="s">
        <v>374</v>
      </c>
      <c r="G351" s="53" t="s">
        <v>184</v>
      </c>
      <c r="H351" s="114">
        <v>46088</v>
      </c>
      <c r="I351" s="53"/>
      <c r="J351" s="53"/>
      <c r="K351" s="87"/>
      <c r="L351" s="53"/>
      <c r="M351" s="79"/>
      <c r="N351" s="53"/>
      <c r="O351" s="79"/>
      <c r="P351" s="79"/>
      <c r="Q351" s="79"/>
      <c r="R351" s="53" t="s">
        <v>28</v>
      </c>
      <c r="S351" s="53"/>
      <c r="T351" s="32" t="s">
        <v>14</v>
      </c>
      <c r="U351" s="79"/>
    </row>
    <row r="352" spans="1:21" x14ac:dyDescent="0.25">
      <c r="A352" s="32"/>
      <c r="B352" s="83"/>
      <c r="C352" s="25" t="s">
        <v>370</v>
      </c>
      <c r="D352" s="25"/>
      <c r="E352" s="52" t="s">
        <v>293</v>
      </c>
      <c r="F352" s="53" t="s">
        <v>374</v>
      </c>
      <c r="G352" s="53" t="s">
        <v>184</v>
      </c>
      <c r="H352" s="114">
        <v>46088</v>
      </c>
      <c r="I352" s="53"/>
      <c r="J352" s="53"/>
      <c r="K352" s="87"/>
      <c r="L352" s="53"/>
      <c r="M352" s="79"/>
      <c r="N352" s="53"/>
      <c r="O352" s="79"/>
      <c r="P352" s="79"/>
      <c r="Q352" s="79"/>
      <c r="R352" s="53" t="s">
        <v>14</v>
      </c>
      <c r="S352" s="53"/>
      <c r="T352" s="54" t="s">
        <v>313</v>
      </c>
      <c r="U352" s="79"/>
    </row>
    <row r="353" spans="1:21" x14ac:dyDescent="0.25">
      <c r="A353" s="72"/>
      <c r="B353" s="73"/>
      <c r="C353" s="74"/>
      <c r="D353" s="73"/>
      <c r="E353" s="73"/>
      <c r="F353" s="75"/>
      <c r="G353" s="76"/>
      <c r="H353" s="77"/>
      <c r="I353" s="77"/>
      <c r="J353" s="72"/>
      <c r="K353" s="72"/>
      <c r="L353" s="72"/>
      <c r="M353" s="72"/>
      <c r="N353" s="72"/>
      <c r="O353" s="72"/>
      <c r="P353" s="72"/>
      <c r="Q353" s="72"/>
      <c r="R353" s="78"/>
      <c r="S353" s="78"/>
      <c r="T353" s="72"/>
      <c r="U353" s="72"/>
    </row>
    <row r="354" spans="1:21" x14ac:dyDescent="0.25">
      <c r="A354" s="32">
        <v>52</v>
      </c>
      <c r="B354" s="83"/>
      <c r="C354" s="25" t="s">
        <v>372</v>
      </c>
      <c r="D354" s="25" t="s">
        <v>303</v>
      </c>
      <c r="E354" s="52" t="s">
        <v>107</v>
      </c>
      <c r="F354" s="53" t="s">
        <v>375</v>
      </c>
      <c r="G354" s="88" t="s">
        <v>64</v>
      </c>
      <c r="H354" s="53">
        <v>46271</v>
      </c>
      <c r="I354" s="53"/>
      <c r="J354" s="53"/>
      <c r="K354" s="87"/>
      <c r="L354" s="53"/>
      <c r="M354" s="79"/>
      <c r="N354" s="53"/>
      <c r="O354" s="79"/>
      <c r="P354" s="79"/>
      <c r="Q354" s="79"/>
      <c r="R354" s="53" t="s">
        <v>33</v>
      </c>
      <c r="S354" s="53"/>
      <c r="T354" s="32" t="s">
        <v>125</v>
      </c>
      <c r="U354" s="79"/>
    </row>
    <row r="355" spans="1:21" x14ac:dyDescent="0.25">
      <c r="A355" s="32"/>
      <c r="B355" s="83"/>
      <c r="C355" s="25" t="s">
        <v>706</v>
      </c>
      <c r="D355" s="25"/>
      <c r="E355" s="52" t="s">
        <v>292</v>
      </c>
      <c r="F355" s="53" t="s">
        <v>375</v>
      </c>
      <c r="G355" s="53" t="s">
        <v>184</v>
      </c>
      <c r="H355" s="114">
        <v>46088</v>
      </c>
      <c r="I355" s="53"/>
      <c r="J355" s="53"/>
      <c r="K355" s="87"/>
      <c r="L355" s="53"/>
      <c r="M355" s="79"/>
      <c r="N355" s="53"/>
      <c r="O355" s="79"/>
      <c r="P355" s="79"/>
      <c r="Q355" s="79"/>
      <c r="R355" s="53" t="s">
        <v>33</v>
      </c>
      <c r="S355" s="53"/>
      <c r="T355" s="32" t="s">
        <v>14</v>
      </c>
      <c r="U355" s="79"/>
    </row>
    <row r="356" spans="1:21" x14ac:dyDescent="0.25">
      <c r="A356" s="32"/>
      <c r="B356" s="83"/>
      <c r="C356" s="25" t="s">
        <v>707</v>
      </c>
      <c r="D356" s="25"/>
      <c r="E356" s="52" t="s">
        <v>373</v>
      </c>
      <c r="F356" s="53" t="s">
        <v>375</v>
      </c>
      <c r="G356" s="53" t="s">
        <v>184</v>
      </c>
      <c r="H356" s="114">
        <v>46088</v>
      </c>
      <c r="I356" s="53"/>
      <c r="J356" s="53"/>
      <c r="K356" s="87"/>
      <c r="L356" s="53"/>
      <c r="M356" s="79"/>
      <c r="N356" s="53"/>
      <c r="O356" s="79"/>
      <c r="P356" s="79"/>
      <c r="Q356" s="79"/>
      <c r="R356" s="53" t="s">
        <v>33</v>
      </c>
      <c r="S356" s="53"/>
      <c r="T356" s="54" t="s">
        <v>313</v>
      </c>
      <c r="U356" s="79"/>
    </row>
    <row r="357" spans="1:21" x14ac:dyDescent="0.25">
      <c r="A357" s="72"/>
      <c r="B357" s="73"/>
      <c r="C357" s="74"/>
      <c r="D357" s="73"/>
      <c r="E357" s="73"/>
      <c r="F357" s="75"/>
      <c r="G357" s="76"/>
      <c r="H357" s="77"/>
      <c r="I357" s="77"/>
      <c r="J357" s="72"/>
      <c r="K357" s="72"/>
      <c r="L357" s="72"/>
      <c r="M357" s="72"/>
      <c r="N357" s="72"/>
      <c r="O357" s="72"/>
      <c r="P357" s="72"/>
      <c r="Q357" s="72"/>
      <c r="R357" s="78"/>
      <c r="S357" s="78"/>
      <c r="T357" s="72"/>
      <c r="U357" s="72"/>
    </row>
    <row r="358" spans="1:21" x14ac:dyDescent="0.25">
      <c r="A358" s="32">
        <v>53</v>
      </c>
      <c r="B358" s="83"/>
      <c r="C358" s="25" t="s">
        <v>420</v>
      </c>
      <c r="D358" s="25" t="s">
        <v>303</v>
      </c>
      <c r="E358" s="52" t="s">
        <v>421</v>
      </c>
      <c r="F358" s="53" t="s">
        <v>422</v>
      </c>
      <c r="G358" s="88" t="s">
        <v>62</v>
      </c>
      <c r="H358" s="53" t="s">
        <v>428</v>
      </c>
      <c r="I358" s="53"/>
      <c r="J358" s="53"/>
      <c r="K358" s="87"/>
      <c r="L358" s="53"/>
      <c r="M358" s="79"/>
      <c r="N358" s="53"/>
      <c r="O358" s="79"/>
      <c r="P358" s="79"/>
      <c r="Q358" s="79"/>
      <c r="R358" s="53" t="s">
        <v>33</v>
      </c>
      <c r="S358" s="53"/>
      <c r="T358" s="32" t="s">
        <v>125</v>
      </c>
      <c r="U358" s="79"/>
    </row>
    <row r="359" spans="1:21" x14ac:dyDescent="0.25">
      <c r="A359" s="32"/>
      <c r="B359" s="83"/>
      <c r="C359" s="25" t="s">
        <v>420</v>
      </c>
      <c r="D359" s="25"/>
      <c r="E359" s="52" t="s">
        <v>53</v>
      </c>
      <c r="F359" s="53" t="s">
        <v>422</v>
      </c>
      <c r="G359" s="88" t="s">
        <v>62</v>
      </c>
      <c r="H359" s="53" t="s">
        <v>428</v>
      </c>
      <c r="I359" s="53"/>
      <c r="J359" s="53"/>
      <c r="K359" s="87"/>
      <c r="L359" s="53"/>
      <c r="M359" s="79"/>
      <c r="N359" s="53"/>
      <c r="O359" s="79"/>
      <c r="P359" s="79"/>
      <c r="Q359" s="79"/>
      <c r="R359" s="53" t="s">
        <v>31</v>
      </c>
      <c r="S359" s="53"/>
      <c r="T359" s="32" t="s">
        <v>14</v>
      </c>
      <c r="U359" s="79"/>
    </row>
    <row r="360" spans="1:21" x14ac:dyDescent="0.25">
      <c r="A360" s="32"/>
      <c r="B360" s="83"/>
      <c r="C360" s="25" t="s">
        <v>420</v>
      </c>
      <c r="D360" s="25"/>
      <c r="E360" s="52" t="s">
        <v>292</v>
      </c>
      <c r="F360" s="53" t="s">
        <v>422</v>
      </c>
      <c r="G360" s="53" t="s">
        <v>184</v>
      </c>
      <c r="H360" s="114">
        <v>46302</v>
      </c>
      <c r="I360" s="53"/>
      <c r="J360" s="53"/>
      <c r="K360" s="87"/>
      <c r="L360" s="53"/>
      <c r="M360" s="79"/>
      <c r="N360" s="53"/>
      <c r="O360" s="79"/>
      <c r="P360" s="79"/>
      <c r="Q360" s="79"/>
      <c r="R360" s="53" t="s">
        <v>28</v>
      </c>
      <c r="S360" s="53"/>
      <c r="T360" s="54" t="s">
        <v>313</v>
      </c>
      <c r="U360" s="79"/>
    </row>
    <row r="361" spans="1:21" x14ac:dyDescent="0.25">
      <c r="A361" s="32"/>
      <c r="B361" s="83"/>
      <c r="C361" s="25" t="s">
        <v>420</v>
      </c>
      <c r="D361" s="25"/>
      <c r="E361" s="52" t="s">
        <v>293</v>
      </c>
      <c r="F361" s="53" t="s">
        <v>422</v>
      </c>
      <c r="G361" s="53" t="s">
        <v>184</v>
      </c>
      <c r="H361" s="114">
        <v>46302</v>
      </c>
      <c r="I361" s="53"/>
      <c r="J361" s="53"/>
      <c r="K361" s="87"/>
      <c r="L361" s="53"/>
      <c r="M361" s="79"/>
      <c r="N361" s="53"/>
      <c r="O361" s="79"/>
      <c r="P361" s="79"/>
      <c r="Q361" s="79"/>
      <c r="R361" s="53" t="s">
        <v>33</v>
      </c>
      <c r="S361" s="53"/>
      <c r="T361" s="32" t="s">
        <v>125</v>
      </c>
      <c r="U361" s="79"/>
    </row>
    <row r="362" spans="1:21" x14ac:dyDescent="0.25">
      <c r="A362" s="72"/>
      <c r="B362" s="73"/>
      <c r="C362" s="74"/>
      <c r="D362" s="73"/>
      <c r="E362" s="73"/>
      <c r="F362" s="75"/>
      <c r="G362" s="76"/>
      <c r="H362" s="77"/>
      <c r="I362" s="77"/>
      <c r="J362" s="72"/>
      <c r="K362" s="72"/>
      <c r="L362" s="72"/>
      <c r="M362" s="72"/>
      <c r="N362" s="72"/>
      <c r="O362" s="72"/>
      <c r="P362" s="72"/>
      <c r="Q362" s="72"/>
      <c r="R362" s="78"/>
      <c r="S362" s="78"/>
      <c r="T362" s="72"/>
      <c r="U362" s="72"/>
    </row>
    <row r="363" spans="1:21" x14ac:dyDescent="0.25">
      <c r="A363" s="32">
        <v>54</v>
      </c>
      <c r="B363" s="83"/>
      <c r="C363" s="25" t="s">
        <v>425</v>
      </c>
      <c r="D363" s="25" t="s">
        <v>303</v>
      </c>
      <c r="E363" s="52" t="s">
        <v>152</v>
      </c>
      <c r="F363" s="53" t="s">
        <v>422</v>
      </c>
      <c r="G363" s="88" t="s">
        <v>62</v>
      </c>
      <c r="H363" s="53">
        <v>46332</v>
      </c>
      <c r="I363" s="53"/>
      <c r="J363" s="53"/>
      <c r="K363" s="87">
        <v>6.1079999999999997</v>
      </c>
      <c r="L363" s="53"/>
      <c r="M363" s="79"/>
      <c r="N363" s="53"/>
      <c r="O363" s="79"/>
      <c r="P363" s="79"/>
      <c r="Q363" s="79"/>
      <c r="R363" s="53" t="s">
        <v>17</v>
      </c>
      <c r="S363" s="53"/>
      <c r="T363" s="53" t="s">
        <v>125</v>
      </c>
      <c r="U363" s="79"/>
    </row>
    <row r="364" spans="1:21" x14ac:dyDescent="0.25">
      <c r="A364" s="32"/>
      <c r="B364" s="83"/>
      <c r="C364" s="25" t="s">
        <v>425</v>
      </c>
      <c r="D364" s="25"/>
      <c r="E364" s="52" t="s">
        <v>426</v>
      </c>
      <c r="F364" s="53" t="s">
        <v>422</v>
      </c>
      <c r="G364" s="88" t="s">
        <v>62</v>
      </c>
      <c r="H364" s="53" t="s">
        <v>423</v>
      </c>
      <c r="I364" s="53"/>
      <c r="J364" s="53"/>
      <c r="K364" s="87">
        <v>1.66</v>
      </c>
      <c r="L364" s="53"/>
      <c r="M364" s="79"/>
      <c r="N364" s="53"/>
      <c r="O364" s="79"/>
      <c r="P364" s="53" t="s">
        <v>432</v>
      </c>
      <c r="Q364" s="82" t="s">
        <v>255</v>
      </c>
      <c r="R364" s="80" t="s">
        <v>16</v>
      </c>
      <c r="S364" s="82" t="s">
        <v>255</v>
      </c>
      <c r="T364" s="53" t="s">
        <v>269</v>
      </c>
      <c r="U364" s="79"/>
    </row>
    <row r="365" spans="1:21" x14ac:dyDescent="0.25">
      <c r="A365" s="72"/>
      <c r="B365" s="73"/>
      <c r="C365" s="74"/>
      <c r="D365" s="73"/>
      <c r="E365" s="73"/>
      <c r="F365" s="75"/>
      <c r="G365" s="76"/>
      <c r="H365" s="77"/>
      <c r="I365" s="77"/>
      <c r="J365" s="72"/>
      <c r="K365" s="72"/>
      <c r="L365" s="72"/>
      <c r="M365" s="72"/>
      <c r="N365" s="72"/>
      <c r="O365" s="72"/>
      <c r="P365" s="72"/>
      <c r="Q365" s="72"/>
      <c r="R365" s="78"/>
      <c r="S365" s="78"/>
      <c r="T365" s="72"/>
      <c r="U365" s="72"/>
    </row>
    <row r="366" spans="1:21" x14ac:dyDescent="0.25">
      <c r="A366" s="32">
        <v>55</v>
      </c>
      <c r="B366" s="83"/>
      <c r="C366" s="25" t="s">
        <v>427</v>
      </c>
      <c r="D366" s="25" t="s">
        <v>303</v>
      </c>
      <c r="E366" s="52" t="s">
        <v>371</v>
      </c>
      <c r="F366" s="53">
        <v>46271</v>
      </c>
      <c r="G366" s="88" t="s">
        <v>62</v>
      </c>
      <c r="H366" s="53">
        <v>46189</v>
      </c>
      <c r="I366" s="53"/>
      <c r="J366" s="53"/>
      <c r="K366" s="87">
        <v>2.2639999999999998</v>
      </c>
      <c r="L366" s="53"/>
      <c r="M366" s="79"/>
      <c r="N366" s="53"/>
      <c r="O366" s="79"/>
      <c r="P366" s="53" t="s">
        <v>432</v>
      </c>
      <c r="Q366" s="82" t="s">
        <v>255</v>
      </c>
      <c r="R366" s="53" t="s">
        <v>35</v>
      </c>
      <c r="S366" s="82" t="s">
        <v>255</v>
      </c>
      <c r="T366" s="53" t="s">
        <v>14</v>
      </c>
      <c r="U366" s="79"/>
    </row>
    <row r="367" spans="1:21" x14ac:dyDescent="0.25">
      <c r="A367" s="32"/>
      <c r="B367" s="83"/>
      <c r="C367" s="25" t="s">
        <v>708</v>
      </c>
      <c r="D367" s="25"/>
      <c r="E367" s="52" t="s">
        <v>292</v>
      </c>
      <c r="F367" s="53">
        <v>46271</v>
      </c>
      <c r="G367" s="88" t="s">
        <v>62</v>
      </c>
      <c r="H367" s="86">
        <v>46193</v>
      </c>
      <c r="I367" s="53"/>
      <c r="J367" s="53"/>
      <c r="K367" s="87">
        <v>3.621</v>
      </c>
      <c r="L367" s="53"/>
      <c r="M367" s="79"/>
      <c r="N367" s="53"/>
      <c r="O367" s="79"/>
      <c r="P367" s="79"/>
      <c r="Q367" s="79"/>
      <c r="R367" s="53" t="s">
        <v>35</v>
      </c>
      <c r="S367" s="53"/>
      <c r="T367" s="53" t="s">
        <v>507</v>
      </c>
      <c r="U367" s="79"/>
    </row>
    <row r="368" spans="1:21" x14ac:dyDescent="0.25">
      <c r="A368" s="32"/>
      <c r="B368" s="83"/>
      <c r="C368" s="25" t="s">
        <v>709</v>
      </c>
      <c r="D368" s="25"/>
      <c r="E368" s="52" t="s">
        <v>293</v>
      </c>
      <c r="F368" s="53">
        <v>46271</v>
      </c>
      <c r="G368" s="88" t="s">
        <v>62</v>
      </c>
      <c r="H368" s="86">
        <v>46199</v>
      </c>
      <c r="I368" s="53"/>
      <c r="J368" s="53"/>
      <c r="K368" s="87">
        <v>1.4119999999999999</v>
      </c>
      <c r="L368" s="53"/>
      <c r="M368" s="79"/>
      <c r="N368" s="53"/>
      <c r="O368" s="79"/>
      <c r="P368" s="79"/>
      <c r="Q368" s="79"/>
      <c r="R368" s="53" t="s">
        <v>35</v>
      </c>
      <c r="S368" s="53"/>
      <c r="T368" s="53" t="s">
        <v>507</v>
      </c>
      <c r="U368" s="79"/>
    </row>
    <row r="369" spans="1:21" x14ac:dyDescent="0.25">
      <c r="A369" s="72"/>
      <c r="B369" s="73"/>
      <c r="C369" s="74"/>
      <c r="D369" s="73"/>
      <c r="E369" s="73"/>
      <c r="F369" s="75"/>
      <c r="G369" s="76"/>
      <c r="H369" s="77"/>
      <c r="I369" s="77"/>
      <c r="J369" s="72"/>
      <c r="K369" s="72"/>
      <c r="L369" s="72"/>
      <c r="M369" s="72"/>
      <c r="N369" s="72"/>
      <c r="O369" s="72"/>
      <c r="P369" s="72"/>
      <c r="Q369" s="72"/>
      <c r="R369" s="78"/>
      <c r="S369" s="78"/>
      <c r="T369" s="72"/>
      <c r="U369" s="72"/>
    </row>
    <row r="370" spans="1:21" x14ac:dyDescent="0.25">
      <c r="A370" s="32">
        <v>56</v>
      </c>
      <c r="B370" s="25"/>
      <c r="C370" s="25" t="s">
        <v>485</v>
      </c>
      <c r="D370" s="25" t="s">
        <v>303</v>
      </c>
      <c r="E370" s="52" t="s">
        <v>486</v>
      </c>
      <c r="F370" s="53" t="s">
        <v>489</v>
      </c>
      <c r="G370" s="88" t="s">
        <v>64</v>
      </c>
      <c r="H370" s="114">
        <v>46088</v>
      </c>
      <c r="I370" s="53"/>
      <c r="J370" s="53"/>
      <c r="K370" s="54"/>
      <c r="L370" s="53"/>
      <c r="M370" s="32"/>
      <c r="N370" s="53"/>
      <c r="O370" s="32"/>
      <c r="P370" s="32"/>
      <c r="Q370" s="32"/>
      <c r="R370" s="53" t="s">
        <v>35</v>
      </c>
      <c r="S370" s="53"/>
      <c r="T370" s="32" t="s">
        <v>14</v>
      </c>
      <c r="U370" s="32"/>
    </row>
    <row r="371" spans="1:21" x14ac:dyDescent="0.25">
      <c r="A371" s="32"/>
      <c r="B371" s="25"/>
      <c r="C371" s="25" t="s">
        <v>485</v>
      </c>
      <c r="D371" s="25"/>
      <c r="E371" s="52" t="s">
        <v>487</v>
      </c>
      <c r="F371" s="53" t="s">
        <v>489</v>
      </c>
      <c r="G371" s="53" t="s">
        <v>184</v>
      </c>
      <c r="H371" s="114">
        <v>46088</v>
      </c>
      <c r="I371" s="53"/>
      <c r="J371" s="53"/>
      <c r="K371" s="54"/>
      <c r="L371" s="53"/>
      <c r="M371" s="32"/>
      <c r="N371" s="53"/>
      <c r="O371" s="32"/>
      <c r="P371" s="32"/>
      <c r="Q371" s="32"/>
      <c r="R371" s="53" t="s">
        <v>28</v>
      </c>
      <c r="S371" s="53"/>
      <c r="T371" s="54" t="s">
        <v>313</v>
      </c>
      <c r="U371" s="32"/>
    </row>
    <row r="372" spans="1:21" x14ac:dyDescent="0.25">
      <c r="A372" s="32"/>
      <c r="B372" s="25"/>
      <c r="C372" s="25" t="s">
        <v>485</v>
      </c>
      <c r="D372" s="25"/>
      <c r="E372" s="52" t="s">
        <v>488</v>
      </c>
      <c r="F372" s="53" t="s">
        <v>489</v>
      </c>
      <c r="G372" s="53" t="s">
        <v>184</v>
      </c>
      <c r="H372" s="114">
        <v>46088</v>
      </c>
      <c r="I372" s="53"/>
      <c r="J372" s="53"/>
      <c r="K372" s="54"/>
      <c r="L372" s="53"/>
      <c r="M372" s="32"/>
      <c r="N372" s="53"/>
      <c r="O372" s="32"/>
      <c r="P372" s="32"/>
      <c r="Q372" s="32"/>
      <c r="R372" s="53" t="s">
        <v>33</v>
      </c>
      <c r="S372" s="53"/>
      <c r="T372" s="32" t="s">
        <v>125</v>
      </c>
      <c r="U372" s="32"/>
    </row>
    <row r="373" spans="1:21" x14ac:dyDescent="0.25">
      <c r="A373" s="72"/>
      <c r="B373" s="73"/>
      <c r="C373" s="74"/>
      <c r="D373" s="73"/>
      <c r="E373" s="73"/>
      <c r="F373" s="75"/>
      <c r="G373" s="76"/>
      <c r="H373" s="77"/>
      <c r="I373" s="77"/>
      <c r="J373" s="72"/>
      <c r="K373" s="72"/>
      <c r="L373" s="72"/>
      <c r="M373" s="72"/>
      <c r="N373" s="72"/>
      <c r="O373" s="72"/>
      <c r="P373" s="72"/>
      <c r="Q373" s="72"/>
      <c r="R373" s="78"/>
      <c r="S373" s="78"/>
      <c r="T373" s="72"/>
      <c r="U373" s="72"/>
    </row>
    <row r="374" spans="1:21" x14ac:dyDescent="0.25">
      <c r="A374" s="32">
        <v>57</v>
      </c>
      <c r="B374" s="25"/>
      <c r="C374" s="25" t="s">
        <v>494</v>
      </c>
      <c r="D374" s="25" t="s">
        <v>303</v>
      </c>
      <c r="E374" s="52" t="s">
        <v>152</v>
      </c>
      <c r="F374" s="53" t="s">
        <v>496</v>
      </c>
      <c r="G374" s="88" t="s">
        <v>64</v>
      </c>
      <c r="H374" s="114" t="s">
        <v>298</v>
      </c>
      <c r="I374" s="53"/>
      <c r="J374" s="53"/>
      <c r="K374" s="54"/>
      <c r="L374" s="53"/>
      <c r="M374" s="32"/>
      <c r="N374" s="53"/>
      <c r="O374" s="32"/>
      <c r="P374" s="32"/>
      <c r="Q374" s="32"/>
      <c r="R374" s="53" t="s">
        <v>35</v>
      </c>
      <c r="S374" s="53"/>
      <c r="T374" s="32" t="s">
        <v>14</v>
      </c>
      <c r="U374" s="32"/>
    </row>
    <row r="375" spans="1:21" x14ac:dyDescent="0.25">
      <c r="A375" s="32"/>
      <c r="B375" s="25"/>
      <c r="C375" s="25" t="s">
        <v>494</v>
      </c>
      <c r="D375" s="25"/>
      <c r="E375" s="52" t="s">
        <v>292</v>
      </c>
      <c r="F375" s="53" t="s">
        <v>496</v>
      </c>
      <c r="G375" s="53" t="s">
        <v>184</v>
      </c>
      <c r="H375" s="114">
        <v>46088</v>
      </c>
      <c r="I375" s="53"/>
      <c r="J375" s="53"/>
      <c r="K375" s="54"/>
      <c r="L375" s="53"/>
      <c r="M375" s="32"/>
      <c r="N375" s="53"/>
      <c r="O375" s="32"/>
      <c r="P375" s="32"/>
      <c r="Q375" s="32"/>
      <c r="R375" s="53" t="s">
        <v>28</v>
      </c>
      <c r="S375" s="53"/>
      <c r="T375" s="54" t="s">
        <v>313</v>
      </c>
      <c r="U375" s="32"/>
    </row>
    <row r="376" spans="1:21" x14ac:dyDescent="0.25">
      <c r="A376" s="32"/>
      <c r="B376" s="25"/>
      <c r="C376" s="25" t="s">
        <v>494</v>
      </c>
      <c r="D376" s="25"/>
      <c r="E376" s="52" t="s">
        <v>495</v>
      </c>
      <c r="F376" s="53" t="s">
        <v>496</v>
      </c>
      <c r="G376" s="53" t="s">
        <v>184</v>
      </c>
      <c r="H376" s="114">
        <v>46088</v>
      </c>
      <c r="I376" s="53"/>
      <c r="J376" s="53"/>
      <c r="K376" s="54"/>
      <c r="L376" s="53"/>
      <c r="M376" s="32"/>
      <c r="N376" s="53"/>
      <c r="O376" s="32"/>
      <c r="P376" s="32"/>
      <c r="Q376" s="32"/>
      <c r="R376" s="53" t="s">
        <v>33</v>
      </c>
      <c r="S376" s="53"/>
      <c r="T376" s="32" t="s">
        <v>125</v>
      </c>
      <c r="U376" s="32"/>
    </row>
    <row r="377" spans="1:21" x14ac:dyDescent="0.25">
      <c r="A377" s="32"/>
      <c r="B377" s="25"/>
      <c r="C377" s="25" t="s">
        <v>494</v>
      </c>
      <c r="D377" s="25"/>
      <c r="E377" s="52" t="s">
        <v>293</v>
      </c>
      <c r="F377" s="53" t="s">
        <v>496</v>
      </c>
      <c r="G377" s="53" t="s">
        <v>184</v>
      </c>
      <c r="H377" s="114">
        <v>46088</v>
      </c>
      <c r="I377" s="53"/>
      <c r="J377" s="53"/>
      <c r="K377" s="54"/>
      <c r="L377" s="53"/>
      <c r="M377" s="32"/>
      <c r="N377" s="53"/>
      <c r="O377" s="32"/>
      <c r="P377" s="32"/>
      <c r="Q377" s="32"/>
      <c r="R377" s="53" t="s">
        <v>35</v>
      </c>
      <c r="S377" s="53"/>
      <c r="T377" s="32" t="s">
        <v>14</v>
      </c>
      <c r="U377" s="32"/>
    </row>
    <row r="378" spans="1:21" x14ac:dyDescent="0.25">
      <c r="A378" s="72"/>
      <c r="B378" s="73"/>
      <c r="C378" s="74"/>
      <c r="D378" s="73"/>
      <c r="E378" s="73"/>
      <c r="F378" s="75"/>
      <c r="G378" s="76"/>
      <c r="H378" s="77"/>
      <c r="I378" s="77"/>
      <c r="J378" s="72"/>
      <c r="K378" s="72"/>
      <c r="L378" s="72"/>
      <c r="M378" s="72"/>
      <c r="N378" s="72"/>
      <c r="O378" s="72"/>
      <c r="P378" s="72"/>
      <c r="Q378" s="72"/>
      <c r="R378" s="78"/>
      <c r="S378" s="78"/>
      <c r="T378" s="72"/>
      <c r="U378" s="72"/>
    </row>
    <row r="379" spans="1:21" x14ac:dyDescent="0.25">
      <c r="A379" s="32">
        <v>58</v>
      </c>
      <c r="B379" s="25"/>
      <c r="C379" s="25" t="s">
        <v>498</v>
      </c>
      <c r="D379" s="25" t="s">
        <v>303</v>
      </c>
      <c r="E379" s="52" t="s">
        <v>152</v>
      </c>
      <c r="F379" s="53" t="s">
        <v>499</v>
      </c>
      <c r="G379" s="88" t="s">
        <v>64</v>
      </c>
      <c r="H379" s="114" t="s">
        <v>298</v>
      </c>
      <c r="I379" s="53"/>
      <c r="J379" s="53"/>
      <c r="K379" s="54"/>
      <c r="L379" s="53"/>
      <c r="M379" s="32"/>
      <c r="N379" s="53"/>
      <c r="O379" s="32"/>
      <c r="P379" s="32"/>
      <c r="Q379" s="32"/>
      <c r="R379" s="53" t="s">
        <v>28</v>
      </c>
      <c r="S379" s="53"/>
      <c r="T379" s="32" t="s">
        <v>125</v>
      </c>
      <c r="U379" s="32"/>
    </row>
    <row r="380" spans="1:21" x14ac:dyDescent="0.25">
      <c r="A380" s="32"/>
      <c r="B380" s="25"/>
      <c r="C380" s="25" t="s">
        <v>498</v>
      </c>
      <c r="D380" s="25"/>
      <c r="E380" s="52" t="s">
        <v>292</v>
      </c>
      <c r="F380" s="53" t="s">
        <v>499</v>
      </c>
      <c r="G380" s="53" t="s">
        <v>184</v>
      </c>
      <c r="H380" s="114" t="s">
        <v>298</v>
      </c>
      <c r="I380" s="53"/>
      <c r="J380" s="53"/>
      <c r="K380" s="54"/>
      <c r="L380" s="53"/>
      <c r="M380" s="32"/>
      <c r="N380" s="53"/>
      <c r="O380" s="32"/>
      <c r="P380" s="32"/>
      <c r="Q380" s="32"/>
      <c r="R380" s="53" t="s">
        <v>33</v>
      </c>
      <c r="S380" s="53"/>
      <c r="T380" s="32" t="s">
        <v>14</v>
      </c>
      <c r="U380" s="32"/>
    </row>
    <row r="381" spans="1:21" x14ac:dyDescent="0.25">
      <c r="A381" s="72"/>
      <c r="B381" s="73"/>
      <c r="C381" s="74"/>
      <c r="D381" s="73"/>
      <c r="E381" s="73"/>
      <c r="F381" s="75"/>
      <c r="G381" s="76"/>
      <c r="H381" s="77"/>
      <c r="I381" s="77"/>
      <c r="J381" s="72"/>
      <c r="K381" s="72"/>
      <c r="L381" s="72"/>
      <c r="M381" s="72"/>
      <c r="N381" s="72"/>
      <c r="O381" s="72"/>
      <c r="P381" s="72"/>
      <c r="Q381" s="72"/>
      <c r="R381" s="78"/>
      <c r="S381" s="78"/>
      <c r="T381" s="72"/>
      <c r="U381" s="72"/>
    </row>
    <row r="382" spans="1:21" x14ac:dyDescent="0.25">
      <c r="A382" s="32">
        <v>59</v>
      </c>
      <c r="B382" s="25"/>
      <c r="C382" s="25" t="s">
        <v>500</v>
      </c>
      <c r="D382" s="25" t="s">
        <v>303</v>
      </c>
      <c r="E382" s="52" t="s">
        <v>152</v>
      </c>
      <c r="F382" s="53" t="s">
        <v>499</v>
      </c>
      <c r="G382" s="88" t="s">
        <v>62</v>
      </c>
      <c r="H382" s="86">
        <v>46199</v>
      </c>
      <c r="I382" s="53"/>
      <c r="J382" s="53"/>
      <c r="K382" s="116">
        <v>1.087</v>
      </c>
      <c r="L382" s="53"/>
      <c r="M382" s="32"/>
      <c r="N382" s="53"/>
      <c r="O382" s="32"/>
      <c r="P382" s="32"/>
      <c r="Q382" s="32"/>
      <c r="R382" s="53" t="s">
        <v>28</v>
      </c>
      <c r="S382" s="53"/>
      <c r="T382" s="32" t="s">
        <v>125</v>
      </c>
      <c r="U382" s="32"/>
    </row>
    <row r="383" spans="1:21" x14ac:dyDescent="0.25">
      <c r="A383" s="32"/>
      <c r="B383" s="25"/>
      <c r="C383" s="25" t="s">
        <v>500</v>
      </c>
      <c r="D383" s="25"/>
      <c r="E383" s="52" t="s">
        <v>292</v>
      </c>
      <c r="F383" s="53" t="s">
        <v>499</v>
      </c>
      <c r="G383" s="88" t="s">
        <v>62</v>
      </c>
      <c r="H383" s="86">
        <v>46199</v>
      </c>
      <c r="I383" s="53"/>
      <c r="J383" s="53"/>
      <c r="K383" s="116">
        <v>1.032</v>
      </c>
      <c r="L383" s="53"/>
      <c r="M383" s="32"/>
      <c r="N383" s="53"/>
      <c r="O383" s="32"/>
      <c r="P383" s="32"/>
      <c r="Q383" s="32"/>
      <c r="R383" s="53" t="s">
        <v>33</v>
      </c>
      <c r="S383" s="53"/>
      <c r="T383" s="32" t="s">
        <v>14</v>
      </c>
      <c r="U383" s="32"/>
    </row>
    <row r="384" spans="1:21" x14ac:dyDescent="0.25">
      <c r="A384" s="72"/>
      <c r="B384" s="73"/>
      <c r="C384" s="74"/>
      <c r="D384" s="73"/>
      <c r="E384" s="73"/>
      <c r="F384" s="75"/>
      <c r="G384" s="76"/>
      <c r="H384" s="77"/>
      <c r="I384" s="77"/>
      <c r="J384" s="72"/>
      <c r="K384" s="72"/>
      <c r="L384" s="72"/>
      <c r="M384" s="72"/>
      <c r="N384" s="72"/>
      <c r="O384" s="72"/>
      <c r="P384" s="72"/>
      <c r="Q384" s="72"/>
      <c r="R384" s="78"/>
      <c r="S384" s="78"/>
      <c r="T384" s="72"/>
      <c r="U384" s="72"/>
    </row>
    <row r="385" spans="1:21" x14ac:dyDescent="0.25">
      <c r="A385" s="32">
        <v>60</v>
      </c>
      <c r="B385" s="25"/>
      <c r="C385" s="25" t="s">
        <v>501</v>
      </c>
      <c r="D385" s="25" t="s">
        <v>37</v>
      </c>
      <c r="E385" s="52" t="s">
        <v>152</v>
      </c>
      <c r="F385" s="53" t="s">
        <v>499</v>
      </c>
      <c r="G385" s="88" t="s">
        <v>62</v>
      </c>
      <c r="H385" s="86">
        <v>46199</v>
      </c>
      <c r="I385" s="53"/>
      <c r="J385" s="53"/>
      <c r="K385" s="54"/>
      <c r="L385" s="53"/>
      <c r="M385" s="32"/>
      <c r="N385" s="53"/>
      <c r="O385" s="32"/>
      <c r="P385" s="32"/>
      <c r="Q385" s="32"/>
      <c r="R385" s="53" t="s">
        <v>35</v>
      </c>
      <c r="S385" s="53"/>
      <c r="T385" s="32" t="s">
        <v>125</v>
      </c>
      <c r="U385" s="32"/>
    </row>
    <row r="386" spans="1:21" x14ac:dyDescent="0.25">
      <c r="A386" s="32"/>
      <c r="B386" s="25"/>
      <c r="C386" s="25" t="s">
        <v>501</v>
      </c>
      <c r="D386" s="25"/>
      <c r="E386" s="52" t="s">
        <v>292</v>
      </c>
      <c r="F386" s="53" t="s">
        <v>499</v>
      </c>
      <c r="G386" s="88" t="s">
        <v>62</v>
      </c>
      <c r="H386" s="86">
        <v>46199</v>
      </c>
      <c r="I386" s="53"/>
      <c r="J386" s="53"/>
      <c r="K386" s="54"/>
      <c r="L386" s="53"/>
      <c r="M386" s="32"/>
      <c r="N386" s="53"/>
      <c r="O386" s="32"/>
      <c r="P386" s="32"/>
      <c r="Q386" s="32"/>
      <c r="R386" s="53" t="s">
        <v>28</v>
      </c>
      <c r="S386" s="53"/>
      <c r="T386" s="32" t="s">
        <v>14</v>
      </c>
      <c r="U386" s="32"/>
    </row>
    <row r="387" spans="1:21" x14ac:dyDescent="0.25">
      <c r="A387" s="32"/>
      <c r="B387" s="25"/>
      <c r="C387" s="25" t="s">
        <v>501</v>
      </c>
      <c r="D387" s="25"/>
      <c r="E387" s="52"/>
      <c r="F387" s="53"/>
      <c r="G387" s="53"/>
      <c r="H387" s="114"/>
      <c r="I387" s="53"/>
      <c r="J387" s="53"/>
      <c r="K387" s="54"/>
      <c r="L387" s="53"/>
      <c r="M387" s="32"/>
      <c r="N387" s="53"/>
      <c r="O387" s="32"/>
      <c r="P387" s="32"/>
      <c r="Q387" s="32"/>
      <c r="R387" s="53" t="s">
        <v>33</v>
      </c>
      <c r="S387" s="53"/>
      <c r="T387" s="32" t="s">
        <v>125</v>
      </c>
      <c r="U387" s="32"/>
    </row>
    <row r="388" spans="1:21" x14ac:dyDescent="0.25">
      <c r="A388" s="32"/>
      <c r="B388" s="25"/>
      <c r="C388" s="25" t="s">
        <v>501</v>
      </c>
      <c r="D388" s="25"/>
      <c r="E388" s="52"/>
      <c r="F388" s="53"/>
      <c r="G388" s="53"/>
      <c r="H388" s="114"/>
      <c r="I388" s="53"/>
      <c r="J388" s="53"/>
      <c r="K388" s="54"/>
      <c r="L388" s="53"/>
      <c r="M388" s="32"/>
      <c r="N388" s="53"/>
      <c r="O388" s="32"/>
      <c r="P388" s="32"/>
      <c r="Q388" s="32"/>
      <c r="R388" s="53" t="s">
        <v>35</v>
      </c>
      <c r="S388" s="53"/>
      <c r="T388" s="32" t="s">
        <v>14</v>
      </c>
      <c r="U388" s="32"/>
    </row>
    <row r="389" spans="1:21" x14ac:dyDescent="0.25">
      <c r="A389" s="32"/>
      <c r="B389" s="25"/>
      <c r="C389" s="25"/>
      <c r="D389" s="25"/>
      <c r="E389" s="52"/>
      <c r="F389" s="53"/>
      <c r="G389" s="53"/>
      <c r="H389" s="114"/>
      <c r="I389" s="53"/>
      <c r="J389" s="53"/>
      <c r="K389" s="54"/>
      <c r="L389" s="53"/>
      <c r="M389" s="32"/>
      <c r="N389" s="53"/>
      <c r="O389" s="32"/>
      <c r="P389" s="32"/>
      <c r="Q389" s="32"/>
      <c r="R389" s="53"/>
      <c r="S389" s="53"/>
      <c r="T389" s="53"/>
      <c r="U389" s="32"/>
    </row>
    <row r="390" spans="1:21" x14ac:dyDescent="0.25">
      <c r="A390" s="89"/>
      <c r="B390" s="90"/>
      <c r="C390" s="90" t="s">
        <v>103</v>
      </c>
      <c r="D390" s="90"/>
      <c r="E390" s="90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91"/>
      <c r="S390" s="91"/>
      <c r="T390" s="89"/>
      <c r="U390" s="89"/>
    </row>
    <row r="391" spans="1:21" x14ac:dyDescent="0.25">
      <c r="A391" s="84">
        <v>1</v>
      </c>
      <c r="B391" s="92"/>
      <c r="C391" s="92" t="s">
        <v>246</v>
      </c>
      <c r="D391" s="92" t="s">
        <v>247</v>
      </c>
      <c r="E391" s="93" t="s">
        <v>248</v>
      </c>
      <c r="F391" s="94">
        <v>46147</v>
      </c>
      <c r="G391" s="94" t="s">
        <v>62</v>
      </c>
      <c r="H391" s="94">
        <v>46208</v>
      </c>
      <c r="I391" s="95"/>
      <c r="J391" s="67"/>
      <c r="K391" s="67"/>
      <c r="L391" s="67"/>
      <c r="M391" s="67"/>
      <c r="N391" s="67"/>
      <c r="O391" s="67"/>
      <c r="P391" s="67"/>
      <c r="Q391" s="67"/>
      <c r="R391" s="96" t="s">
        <v>50</v>
      </c>
      <c r="S391" s="96"/>
      <c r="T391" s="32" t="s">
        <v>14</v>
      </c>
      <c r="U391" s="67"/>
    </row>
    <row r="392" spans="1:21" x14ac:dyDescent="0.25">
      <c r="A392" s="84">
        <v>2</v>
      </c>
      <c r="B392" s="92"/>
      <c r="C392" s="92" t="s">
        <v>47</v>
      </c>
      <c r="D392" s="92" t="s">
        <v>247</v>
      </c>
      <c r="E392" s="93" t="s">
        <v>250</v>
      </c>
      <c r="F392" s="94">
        <v>46147</v>
      </c>
      <c r="G392" s="94" t="s">
        <v>62</v>
      </c>
      <c r="H392" s="94">
        <v>46147</v>
      </c>
      <c r="I392" s="95"/>
      <c r="J392" s="67"/>
      <c r="K392" s="67"/>
      <c r="L392" s="67"/>
      <c r="M392" s="67"/>
      <c r="N392" s="67"/>
      <c r="O392" s="67"/>
      <c r="P392" s="67"/>
      <c r="Q392" s="67"/>
      <c r="R392" s="96" t="s">
        <v>31</v>
      </c>
      <c r="S392" s="96"/>
      <c r="T392" s="54" t="s">
        <v>313</v>
      </c>
      <c r="U392" s="67"/>
    </row>
    <row r="393" spans="1:21" x14ac:dyDescent="0.25">
      <c r="A393" s="84">
        <v>3</v>
      </c>
      <c r="B393" s="92"/>
      <c r="C393" s="92" t="s">
        <v>54</v>
      </c>
      <c r="D393" s="92" t="s">
        <v>247</v>
      </c>
      <c r="E393" s="93" t="s">
        <v>251</v>
      </c>
      <c r="F393" s="94">
        <v>46147</v>
      </c>
      <c r="G393" s="94" t="s">
        <v>62</v>
      </c>
      <c r="H393" s="94">
        <v>46147</v>
      </c>
      <c r="I393" s="95"/>
      <c r="J393" s="67"/>
      <c r="K393" s="67"/>
      <c r="L393" s="67"/>
      <c r="M393" s="67"/>
      <c r="N393" s="67"/>
      <c r="O393" s="67"/>
      <c r="P393" s="67"/>
      <c r="Q393" s="67"/>
      <c r="R393" s="96" t="s">
        <v>16</v>
      </c>
      <c r="S393" s="96"/>
      <c r="T393" s="32" t="s">
        <v>125</v>
      </c>
      <c r="U393" s="67"/>
    </row>
    <row r="394" spans="1:21" x14ac:dyDescent="0.25">
      <c r="A394" s="84">
        <v>4</v>
      </c>
      <c r="B394" s="92"/>
      <c r="C394" s="92" t="s">
        <v>48</v>
      </c>
      <c r="D394" s="92" t="s">
        <v>256</v>
      </c>
      <c r="E394" s="93" t="s">
        <v>257</v>
      </c>
      <c r="F394" s="94">
        <v>46147</v>
      </c>
      <c r="G394" s="94" t="s">
        <v>62</v>
      </c>
      <c r="H394" s="94">
        <v>46178</v>
      </c>
      <c r="I394" s="95"/>
      <c r="J394" s="67"/>
      <c r="K394" s="67"/>
      <c r="L394" s="67"/>
      <c r="M394" s="67"/>
      <c r="N394" s="67"/>
      <c r="O394" s="67"/>
      <c r="P394" s="67"/>
      <c r="Q394" s="67"/>
      <c r="R394" s="96" t="s">
        <v>16</v>
      </c>
      <c r="S394" s="96"/>
      <c r="T394" s="32" t="s">
        <v>14</v>
      </c>
      <c r="U394" s="67"/>
    </row>
    <row r="395" spans="1:21" x14ac:dyDescent="0.25">
      <c r="A395" s="84">
        <v>5</v>
      </c>
      <c r="B395" s="92"/>
      <c r="C395" s="92" t="s">
        <v>260</v>
      </c>
      <c r="D395" s="92" t="s">
        <v>256</v>
      </c>
      <c r="E395" s="93" t="s">
        <v>258</v>
      </c>
      <c r="F395" s="94">
        <v>46147</v>
      </c>
      <c r="G395" s="94" t="s">
        <v>62</v>
      </c>
      <c r="H395" s="94">
        <v>46208</v>
      </c>
      <c r="I395" s="95"/>
      <c r="J395" s="67"/>
      <c r="K395" s="67"/>
      <c r="L395" s="67"/>
      <c r="M395" s="67"/>
      <c r="N395" s="67"/>
      <c r="O395" s="67"/>
      <c r="P395" s="67"/>
      <c r="Q395" s="67"/>
      <c r="R395" s="96" t="s">
        <v>259</v>
      </c>
      <c r="S395" s="96"/>
      <c r="T395" s="54" t="s">
        <v>313</v>
      </c>
      <c r="U395" s="67"/>
    </row>
    <row r="396" spans="1:21" x14ac:dyDescent="0.25">
      <c r="A396" s="84">
        <v>6</v>
      </c>
      <c r="B396" s="92"/>
      <c r="C396" s="92" t="s">
        <v>214</v>
      </c>
      <c r="D396" s="92" t="s">
        <v>247</v>
      </c>
      <c r="E396" s="93" t="s">
        <v>261</v>
      </c>
      <c r="F396" s="94">
        <v>46147</v>
      </c>
      <c r="G396" s="94" t="s">
        <v>62</v>
      </c>
      <c r="H396" s="94">
        <v>46178</v>
      </c>
      <c r="I396" s="95"/>
      <c r="J396" s="67"/>
      <c r="K396" s="67"/>
      <c r="L396" s="67"/>
      <c r="M396" s="67"/>
      <c r="N396" s="67"/>
      <c r="O396" s="67"/>
      <c r="P396" s="67"/>
      <c r="Q396" s="67"/>
      <c r="R396" s="96" t="s">
        <v>31</v>
      </c>
      <c r="S396" s="96"/>
      <c r="T396" s="32" t="s">
        <v>125</v>
      </c>
      <c r="U396" s="67"/>
    </row>
    <row r="397" spans="1:21" x14ac:dyDescent="0.25">
      <c r="A397" s="84">
        <v>7</v>
      </c>
      <c r="B397" s="92"/>
      <c r="C397" s="92" t="s">
        <v>65</v>
      </c>
      <c r="D397" s="92" t="s">
        <v>247</v>
      </c>
      <c r="E397" s="93" t="s">
        <v>262</v>
      </c>
      <c r="F397" s="94">
        <v>46147</v>
      </c>
      <c r="G397" s="94" t="s">
        <v>62</v>
      </c>
      <c r="H397" s="94">
        <v>46208</v>
      </c>
      <c r="I397" s="95"/>
      <c r="J397" s="67"/>
      <c r="K397" s="67"/>
      <c r="L397" s="67"/>
      <c r="M397" s="67"/>
      <c r="N397" s="67"/>
      <c r="O397" s="67"/>
      <c r="P397" s="67"/>
      <c r="Q397" s="67"/>
      <c r="R397" s="96" t="s">
        <v>31</v>
      </c>
      <c r="S397" s="96"/>
      <c r="T397" s="32" t="s">
        <v>14</v>
      </c>
      <c r="U397" s="67"/>
    </row>
    <row r="398" spans="1:21" x14ac:dyDescent="0.25">
      <c r="A398" s="84">
        <v>8</v>
      </c>
      <c r="B398" s="92"/>
      <c r="C398" s="92" t="s">
        <v>263</v>
      </c>
      <c r="D398" s="92" t="s">
        <v>247</v>
      </c>
      <c r="E398" s="93" t="s">
        <v>264</v>
      </c>
      <c r="F398" s="94">
        <v>46147</v>
      </c>
      <c r="G398" s="94" t="s">
        <v>62</v>
      </c>
      <c r="H398" s="94">
        <v>46178</v>
      </c>
      <c r="I398" s="95"/>
      <c r="J398" s="67"/>
      <c r="K398" s="67"/>
      <c r="L398" s="67"/>
      <c r="M398" s="67"/>
      <c r="N398" s="67"/>
      <c r="O398" s="67"/>
      <c r="P398" s="67"/>
      <c r="Q398" s="67"/>
      <c r="R398" s="96" t="s">
        <v>124</v>
      </c>
      <c r="S398" s="96"/>
      <c r="T398" s="54" t="s">
        <v>313</v>
      </c>
      <c r="U398" s="67"/>
    </row>
    <row r="399" spans="1:21" x14ac:dyDescent="0.25">
      <c r="A399" s="84">
        <v>9</v>
      </c>
      <c r="B399" s="92"/>
      <c r="C399" s="92" t="s">
        <v>60</v>
      </c>
      <c r="D399" s="92" t="s">
        <v>256</v>
      </c>
      <c r="E399" s="93" t="s">
        <v>273</v>
      </c>
      <c r="F399" s="94">
        <v>46208</v>
      </c>
      <c r="G399" s="94" t="s">
        <v>62</v>
      </c>
      <c r="H399" s="94">
        <v>46239</v>
      </c>
      <c r="I399" s="95"/>
      <c r="J399" s="67"/>
      <c r="K399" s="67"/>
      <c r="L399" s="67"/>
      <c r="M399" s="67"/>
      <c r="N399" s="67"/>
      <c r="O399" s="67"/>
      <c r="P399" s="67"/>
      <c r="Q399" s="67"/>
      <c r="R399" s="96" t="s">
        <v>31</v>
      </c>
      <c r="S399" s="96"/>
      <c r="T399" s="32" t="s">
        <v>125</v>
      </c>
      <c r="U399" s="67"/>
    </row>
    <row r="400" spans="1:21" x14ac:dyDescent="0.25">
      <c r="A400" s="84">
        <v>10</v>
      </c>
      <c r="B400" s="92"/>
      <c r="C400" s="92" t="s">
        <v>274</v>
      </c>
      <c r="D400" s="92" t="s">
        <v>256</v>
      </c>
      <c r="E400" s="93" t="s">
        <v>275</v>
      </c>
      <c r="F400" s="94">
        <v>46208</v>
      </c>
      <c r="G400" s="94" t="s">
        <v>62</v>
      </c>
      <c r="H400" s="94">
        <v>46239</v>
      </c>
      <c r="I400" s="95"/>
      <c r="J400" s="67"/>
      <c r="K400" s="67"/>
      <c r="L400" s="67"/>
      <c r="M400" s="67"/>
      <c r="N400" s="67"/>
      <c r="O400" s="67"/>
      <c r="P400" s="67"/>
      <c r="Q400" s="67"/>
      <c r="R400" s="96" t="s">
        <v>17</v>
      </c>
      <c r="S400" s="96"/>
      <c r="T400" s="32" t="s">
        <v>14</v>
      </c>
      <c r="U400" s="67"/>
    </row>
    <row r="401" spans="1:21" x14ac:dyDescent="0.25">
      <c r="A401" s="84">
        <v>11</v>
      </c>
      <c r="B401" s="92"/>
      <c r="C401" s="92" t="s">
        <v>197</v>
      </c>
      <c r="D401" s="92" t="s">
        <v>247</v>
      </c>
      <c r="E401" s="93" t="s">
        <v>276</v>
      </c>
      <c r="F401" s="94">
        <v>46208</v>
      </c>
      <c r="G401" s="94" t="s">
        <v>62</v>
      </c>
      <c r="H401" s="94">
        <v>46239</v>
      </c>
      <c r="I401" s="95"/>
      <c r="J401" s="67"/>
      <c r="K401" s="67"/>
      <c r="L401" s="67"/>
      <c r="M401" s="67"/>
      <c r="N401" s="67"/>
      <c r="O401" s="67"/>
      <c r="P401" s="67"/>
      <c r="Q401" s="67"/>
      <c r="R401" s="96" t="s">
        <v>35</v>
      </c>
      <c r="S401" s="96"/>
      <c r="T401" s="54" t="s">
        <v>313</v>
      </c>
      <c r="U401" s="67"/>
    </row>
    <row r="402" spans="1:21" x14ac:dyDescent="0.25">
      <c r="A402" s="84">
        <v>13</v>
      </c>
      <c r="B402" s="92"/>
      <c r="C402" s="92" t="s">
        <v>179</v>
      </c>
      <c r="D402" s="92" t="s">
        <v>247</v>
      </c>
      <c r="E402" s="93" t="s">
        <v>284</v>
      </c>
      <c r="F402" s="94">
        <v>46270</v>
      </c>
      <c r="G402" s="94" t="s">
        <v>62</v>
      </c>
      <c r="H402" s="94">
        <v>46270</v>
      </c>
      <c r="I402" s="95"/>
      <c r="J402" s="67"/>
      <c r="K402" s="67"/>
      <c r="L402" s="67"/>
      <c r="M402" s="67"/>
      <c r="N402" s="67"/>
      <c r="O402" s="67"/>
      <c r="P402" s="67"/>
      <c r="Q402" s="67"/>
      <c r="R402" s="96" t="s">
        <v>50</v>
      </c>
      <c r="S402" s="96"/>
      <c r="T402" s="32" t="s">
        <v>125</v>
      </c>
      <c r="U402" s="67"/>
    </row>
    <row r="403" spans="1:21" x14ac:dyDescent="0.25">
      <c r="A403" s="84">
        <v>14</v>
      </c>
      <c r="B403" s="92"/>
      <c r="C403" s="92" t="s">
        <v>66</v>
      </c>
      <c r="D403" s="92" t="s">
        <v>247</v>
      </c>
      <c r="E403" s="93" t="s">
        <v>285</v>
      </c>
      <c r="F403" s="94">
        <v>46270</v>
      </c>
      <c r="G403" s="94" t="s">
        <v>62</v>
      </c>
      <c r="H403" s="94">
        <v>46270</v>
      </c>
      <c r="I403" s="95"/>
      <c r="J403" s="67"/>
      <c r="K403" s="67"/>
      <c r="L403" s="67"/>
      <c r="M403" s="67"/>
      <c r="N403" s="67"/>
      <c r="O403" s="67"/>
      <c r="P403" s="67"/>
      <c r="Q403" s="67"/>
      <c r="R403" s="96" t="s">
        <v>50</v>
      </c>
      <c r="S403" s="96"/>
      <c r="T403" s="32" t="s">
        <v>14</v>
      </c>
      <c r="U403" s="67"/>
    </row>
    <row r="404" spans="1:21" x14ac:dyDescent="0.25">
      <c r="A404" s="84">
        <v>15</v>
      </c>
      <c r="B404" s="92"/>
      <c r="C404" s="92" t="s">
        <v>65</v>
      </c>
      <c r="D404" s="92" t="s">
        <v>378</v>
      </c>
      <c r="E404" s="93" t="s">
        <v>379</v>
      </c>
      <c r="F404" s="94">
        <v>46331</v>
      </c>
      <c r="G404" s="94" t="s">
        <v>62</v>
      </c>
      <c r="H404" s="94">
        <v>46270</v>
      </c>
      <c r="I404" s="95"/>
      <c r="J404" s="67"/>
      <c r="K404" s="67"/>
      <c r="L404" s="67"/>
      <c r="M404" s="67"/>
      <c r="N404" s="67"/>
      <c r="O404" s="67"/>
      <c r="P404" s="67"/>
      <c r="Q404" s="67"/>
      <c r="R404" s="96" t="s">
        <v>50</v>
      </c>
      <c r="S404" s="96"/>
      <c r="T404" s="54" t="s">
        <v>313</v>
      </c>
      <c r="U404" s="67"/>
    </row>
    <row r="405" spans="1:21" x14ac:dyDescent="0.25">
      <c r="A405" s="84">
        <v>16</v>
      </c>
      <c r="B405" s="92"/>
      <c r="C405" s="92" t="s">
        <v>47</v>
      </c>
      <c r="D405" s="92" t="s">
        <v>247</v>
      </c>
      <c r="E405" s="93" t="s">
        <v>389</v>
      </c>
      <c r="F405" s="94" t="s">
        <v>315</v>
      </c>
      <c r="G405" s="94" t="s">
        <v>62</v>
      </c>
      <c r="H405" s="94" t="s">
        <v>315</v>
      </c>
      <c r="I405" s="95"/>
      <c r="J405" s="67"/>
      <c r="K405" s="67"/>
      <c r="L405" s="67"/>
      <c r="M405" s="67"/>
      <c r="N405" s="67"/>
      <c r="O405" s="67"/>
      <c r="P405" s="67"/>
      <c r="Q405" s="67"/>
      <c r="R405" s="96" t="s">
        <v>17</v>
      </c>
      <c r="S405" s="96"/>
      <c r="T405" s="32" t="s">
        <v>125</v>
      </c>
      <c r="U405" s="67"/>
    </row>
    <row r="406" spans="1:21" x14ac:dyDescent="0.25">
      <c r="A406" s="84">
        <v>17</v>
      </c>
      <c r="B406" s="92"/>
      <c r="C406" s="92" t="s">
        <v>65</v>
      </c>
      <c r="D406" s="92" t="s">
        <v>247</v>
      </c>
      <c r="E406" s="93" t="s">
        <v>380</v>
      </c>
      <c r="F406" s="94" t="s">
        <v>294</v>
      </c>
      <c r="G406" s="94" t="s">
        <v>62</v>
      </c>
      <c r="H406" s="94" t="s">
        <v>294</v>
      </c>
      <c r="I406" s="95"/>
      <c r="J406" s="67"/>
      <c r="K406" s="67"/>
      <c r="L406" s="67"/>
      <c r="M406" s="67"/>
      <c r="N406" s="67"/>
      <c r="O406" s="67"/>
      <c r="P406" s="67"/>
      <c r="Q406" s="67"/>
      <c r="R406" s="96" t="s">
        <v>35</v>
      </c>
      <c r="S406" s="96"/>
      <c r="T406" s="32" t="s">
        <v>14</v>
      </c>
      <c r="U406" s="67"/>
    </row>
    <row r="407" spans="1:21" x14ac:dyDescent="0.25">
      <c r="A407" s="84">
        <v>18</v>
      </c>
      <c r="B407" s="92"/>
      <c r="C407" s="92" t="s">
        <v>381</v>
      </c>
      <c r="D407" s="92" t="s">
        <v>247</v>
      </c>
      <c r="E407" s="93" t="s">
        <v>382</v>
      </c>
      <c r="F407" s="94" t="s">
        <v>295</v>
      </c>
      <c r="G407" s="94" t="s">
        <v>62</v>
      </c>
      <c r="H407" s="94" t="s">
        <v>299</v>
      </c>
      <c r="I407" s="95"/>
      <c r="J407" s="67"/>
      <c r="K407" s="67"/>
      <c r="L407" s="67"/>
      <c r="M407" s="67"/>
      <c r="N407" s="67"/>
      <c r="O407" s="67"/>
      <c r="P407" s="67"/>
      <c r="Q407" s="67"/>
      <c r="R407" s="96" t="s">
        <v>50</v>
      </c>
      <c r="S407" s="96"/>
      <c r="T407" s="54" t="s">
        <v>313</v>
      </c>
      <c r="U407" s="67"/>
    </row>
    <row r="408" spans="1:21" x14ac:dyDescent="0.25">
      <c r="A408" s="84">
        <v>19</v>
      </c>
      <c r="B408" s="92"/>
      <c r="C408" s="92" t="s">
        <v>214</v>
      </c>
      <c r="D408" s="92" t="s">
        <v>247</v>
      </c>
      <c r="E408" s="93" t="s">
        <v>388</v>
      </c>
      <c r="F408" s="94" t="s">
        <v>299</v>
      </c>
      <c r="G408" s="94" t="s">
        <v>62</v>
      </c>
      <c r="H408" s="94" t="s">
        <v>315</v>
      </c>
      <c r="I408" s="95"/>
      <c r="J408" s="67"/>
      <c r="K408" s="67"/>
      <c r="L408" s="67"/>
      <c r="M408" s="67"/>
      <c r="N408" s="67"/>
      <c r="O408" s="67"/>
      <c r="P408" s="67"/>
      <c r="Q408" s="67"/>
      <c r="R408" s="96" t="s">
        <v>124</v>
      </c>
      <c r="S408" s="96"/>
      <c r="T408" s="32" t="s">
        <v>14</v>
      </c>
      <c r="U408" s="67"/>
    </row>
    <row r="409" spans="1:21" x14ac:dyDescent="0.25">
      <c r="A409" s="84">
        <v>20</v>
      </c>
      <c r="B409" s="92"/>
      <c r="C409" s="92" t="s">
        <v>246</v>
      </c>
      <c r="D409" s="92" t="s">
        <v>247</v>
      </c>
      <c r="E409" s="93" t="s">
        <v>383</v>
      </c>
      <c r="F409" s="94" t="s">
        <v>299</v>
      </c>
      <c r="G409" s="94" t="s">
        <v>62</v>
      </c>
      <c r="H409" s="94" t="s">
        <v>299</v>
      </c>
      <c r="I409" s="95"/>
      <c r="J409" s="67"/>
      <c r="K409" s="67"/>
      <c r="L409" s="67"/>
      <c r="M409" s="67"/>
      <c r="N409" s="67"/>
      <c r="O409" s="67"/>
      <c r="P409" s="67"/>
      <c r="Q409" s="67"/>
      <c r="R409" s="96" t="s">
        <v>16</v>
      </c>
      <c r="S409" s="96"/>
      <c r="T409" s="54" t="s">
        <v>313</v>
      </c>
      <c r="U409" s="67"/>
    </row>
    <row r="410" spans="1:21" x14ac:dyDescent="0.25">
      <c r="A410" s="84">
        <v>21</v>
      </c>
      <c r="B410" s="92"/>
      <c r="C410" s="92" t="s">
        <v>381</v>
      </c>
      <c r="D410" s="92" t="s">
        <v>256</v>
      </c>
      <c r="E410" s="93" t="s">
        <v>384</v>
      </c>
      <c r="F410" s="94" t="s">
        <v>299</v>
      </c>
      <c r="G410" s="94" t="s">
        <v>62</v>
      </c>
      <c r="H410" s="94" t="s">
        <v>315</v>
      </c>
      <c r="I410" s="95"/>
      <c r="J410" s="67"/>
      <c r="K410" s="67"/>
      <c r="L410" s="67"/>
      <c r="M410" s="67"/>
      <c r="N410" s="67"/>
      <c r="O410" s="67"/>
      <c r="P410" s="67"/>
      <c r="Q410" s="67"/>
      <c r="R410" s="96" t="s">
        <v>17</v>
      </c>
      <c r="S410" s="96"/>
      <c r="T410" s="32" t="s">
        <v>125</v>
      </c>
      <c r="U410" s="67"/>
    </row>
    <row r="411" spans="1:21" x14ac:dyDescent="0.25">
      <c r="A411" s="84">
        <v>22</v>
      </c>
      <c r="B411" s="92"/>
      <c r="C411" s="92" t="s">
        <v>395</v>
      </c>
      <c r="D411" s="92" t="s">
        <v>247</v>
      </c>
      <c r="E411" s="93" t="s">
        <v>396</v>
      </c>
      <c r="F411" s="94" t="s">
        <v>299</v>
      </c>
      <c r="G411" s="94" t="s">
        <v>62</v>
      </c>
      <c r="H411" s="94" t="s">
        <v>299</v>
      </c>
      <c r="I411" s="95"/>
      <c r="J411" s="67"/>
      <c r="K411" s="67"/>
      <c r="L411" s="67"/>
      <c r="M411" s="67"/>
      <c r="N411" s="67"/>
      <c r="O411" s="67"/>
      <c r="P411" s="67"/>
      <c r="Q411" s="67"/>
      <c r="R411" s="96" t="s">
        <v>35</v>
      </c>
      <c r="S411" s="96"/>
      <c r="T411" s="32" t="s">
        <v>14</v>
      </c>
      <c r="U411" s="67"/>
    </row>
    <row r="412" spans="1:21" x14ac:dyDescent="0.25">
      <c r="A412" s="84">
        <v>23</v>
      </c>
      <c r="B412" s="92"/>
      <c r="C412" s="92" t="s">
        <v>214</v>
      </c>
      <c r="D412" s="92" t="s">
        <v>247</v>
      </c>
      <c r="E412" s="93" t="s">
        <v>385</v>
      </c>
      <c r="F412" s="94" t="s">
        <v>315</v>
      </c>
      <c r="G412" s="94" t="s">
        <v>62</v>
      </c>
      <c r="H412" s="94" t="s">
        <v>317</v>
      </c>
      <c r="I412" s="95"/>
      <c r="J412" s="67"/>
      <c r="K412" s="67"/>
      <c r="L412" s="67"/>
      <c r="M412" s="67"/>
      <c r="N412" s="67"/>
      <c r="O412" s="67"/>
      <c r="P412" s="67"/>
      <c r="Q412" s="67"/>
      <c r="R412" s="96" t="s">
        <v>50</v>
      </c>
      <c r="S412" s="96"/>
      <c r="T412" s="54" t="s">
        <v>313</v>
      </c>
      <c r="U412" s="67"/>
    </row>
    <row r="413" spans="1:21" x14ac:dyDescent="0.25">
      <c r="A413" s="84">
        <v>24</v>
      </c>
      <c r="B413" s="92"/>
      <c r="C413" s="92" t="s">
        <v>386</v>
      </c>
      <c r="D413" s="92" t="s">
        <v>247</v>
      </c>
      <c r="E413" s="93" t="s">
        <v>387</v>
      </c>
      <c r="F413" s="94" t="s">
        <v>315</v>
      </c>
      <c r="G413" s="94" t="s">
        <v>62</v>
      </c>
      <c r="H413" s="166" t="s">
        <v>317</v>
      </c>
      <c r="I413" s="95"/>
      <c r="J413" s="67"/>
      <c r="K413" s="67"/>
      <c r="L413" s="67"/>
      <c r="M413" s="67"/>
      <c r="N413" s="67"/>
      <c r="O413" s="67"/>
      <c r="P413" s="67"/>
      <c r="Q413" s="67"/>
      <c r="R413" s="96" t="s">
        <v>124</v>
      </c>
      <c r="S413" s="96"/>
      <c r="T413" s="32" t="s">
        <v>125</v>
      </c>
      <c r="U413" s="67"/>
    </row>
    <row r="414" spans="1:21" x14ac:dyDescent="0.25">
      <c r="A414" s="84">
        <v>25</v>
      </c>
      <c r="B414" s="92"/>
      <c r="C414" s="92" t="s">
        <v>392</v>
      </c>
      <c r="D414" s="92" t="s">
        <v>247</v>
      </c>
      <c r="E414" s="93" t="s">
        <v>393</v>
      </c>
      <c r="F414" s="94" t="s">
        <v>315</v>
      </c>
      <c r="G414" s="94" t="s">
        <v>62</v>
      </c>
      <c r="H414" s="94" t="s">
        <v>317</v>
      </c>
      <c r="I414" s="95"/>
      <c r="J414" s="67"/>
      <c r="K414" s="67"/>
      <c r="L414" s="67"/>
      <c r="M414" s="67"/>
      <c r="N414" s="67"/>
      <c r="O414" s="67"/>
      <c r="P414" s="67"/>
      <c r="Q414" s="67"/>
      <c r="R414" s="96" t="s">
        <v>16</v>
      </c>
      <c r="S414" s="96"/>
      <c r="T414" s="32" t="s">
        <v>14</v>
      </c>
      <c r="U414" s="67"/>
    </row>
    <row r="415" spans="1:21" x14ac:dyDescent="0.25">
      <c r="A415" s="84">
        <v>26</v>
      </c>
      <c r="B415" s="92"/>
      <c r="C415" s="92" t="s">
        <v>177</v>
      </c>
      <c r="D415" s="92" t="s">
        <v>390</v>
      </c>
      <c r="E415" s="93" t="s">
        <v>391</v>
      </c>
      <c r="F415" s="94" t="s">
        <v>317</v>
      </c>
      <c r="G415" s="94" t="s">
        <v>62</v>
      </c>
      <c r="H415" s="166" t="s">
        <v>317</v>
      </c>
      <c r="I415" s="95"/>
      <c r="J415" s="67"/>
      <c r="K415" s="67"/>
      <c r="L415" s="67"/>
      <c r="M415" s="67"/>
      <c r="N415" s="67"/>
      <c r="O415" s="67"/>
      <c r="P415" s="67"/>
      <c r="Q415" s="67"/>
      <c r="R415" s="96" t="s">
        <v>17</v>
      </c>
      <c r="S415" s="96"/>
      <c r="T415" s="54" t="s">
        <v>313</v>
      </c>
      <c r="U415" s="67"/>
    </row>
    <row r="416" spans="1:21" x14ac:dyDescent="0.25">
      <c r="A416" s="84">
        <v>27</v>
      </c>
      <c r="B416" s="92"/>
      <c r="C416" s="92" t="s">
        <v>60</v>
      </c>
      <c r="D416" s="92" t="s">
        <v>376</v>
      </c>
      <c r="E416" s="93" t="s">
        <v>377</v>
      </c>
      <c r="F416" s="94" t="s">
        <v>307</v>
      </c>
      <c r="G416" s="94" t="s">
        <v>62</v>
      </c>
      <c r="H416" s="94" t="s">
        <v>296</v>
      </c>
      <c r="I416" s="95"/>
      <c r="J416" s="67"/>
      <c r="K416" s="67"/>
      <c r="L416" s="67"/>
      <c r="M416" s="67"/>
      <c r="N416" s="67"/>
      <c r="O416" s="67"/>
      <c r="P416" s="67"/>
      <c r="Q416" s="67"/>
      <c r="R416" s="96" t="s">
        <v>35</v>
      </c>
      <c r="S416" s="96"/>
      <c r="T416" s="32" t="s">
        <v>125</v>
      </c>
      <c r="U416" s="67"/>
    </row>
    <row r="417" spans="1:21" x14ac:dyDescent="0.25">
      <c r="A417" s="84">
        <v>28</v>
      </c>
      <c r="B417" s="92"/>
      <c r="C417" s="92" t="s">
        <v>392</v>
      </c>
      <c r="D417" s="92" t="s">
        <v>247</v>
      </c>
      <c r="E417" s="93" t="s">
        <v>394</v>
      </c>
      <c r="F417" s="94" t="s">
        <v>307</v>
      </c>
      <c r="G417" s="94" t="s">
        <v>62</v>
      </c>
      <c r="H417" s="94" t="s">
        <v>307</v>
      </c>
      <c r="I417" s="95"/>
      <c r="J417" s="67"/>
      <c r="K417" s="67"/>
      <c r="L417" s="67"/>
      <c r="M417" s="67"/>
      <c r="N417" s="67"/>
      <c r="O417" s="67"/>
      <c r="P417" s="67"/>
      <c r="Q417" s="67"/>
      <c r="R417" s="96" t="s">
        <v>50</v>
      </c>
      <c r="S417" s="96"/>
      <c r="T417" s="32" t="s">
        <v>14</v>
      </c>
      <c r="U417" s="67"/>
    </row>
    <row r="418" spans="1:21" x14ac:dyDescent="0.25">
      <c r="A418" s="84">
        <v>29</v>
      </c>
      <c r="B418" s="92"/>
      <c r="C418" s="92" t="s">
        <v>395</v>
      </c>
      <c r="D418" s="92" t="s">
        <v>247</v>
      </c>
      <c r="E418" s="93" t="s">
        <v>396</v>
      </c>
      <c r="F418" s="94" t="s">
        <v>307</v>
      </c>
      <c r="G418" s="94" t="s">
        <v>62</v>
      </c>
      <c r="H418" s="94" t="s">
        <v>374</v>
      </c>
      <c r="I418" s="95"/>
      <c r="J418" s="67"/>
      <c r="K418" s="67"/>
      <c r="L418" s="67"/>
      <c r="M418" s="67"/>
      <c r="N418" s="67"/>
      <c r="O418" s="67"/>
      <c r="P418" s="67"/>
      <c r="Q418" s="67"/>
      <c r="R418" s="96" t="s">
        <v>124</v>
      </c>
      <c r="S418" s="96"/>
      <c r="T418" s="54" t="s">
        <v>313</v>
      </c>
      <c r="U418" s="67"/>
    </row>
    <row r="419" spans="1:21" x14ac:dyDescent="0.25">
      <c r="A419" s="84">
        <v>30</v>
      </c>
      <c r="B419" s="92"/>
      <c r="C419" s="92" t="s">
        <v>397</v>
      </c>
      <c r="D419" s="92" t="s">
        <v>376</v>
      </c>
      <c r="E419" s="93" t="s">
        <v>398</v>
      </c>
      <c r="F419" s="94" t="s">
        <v>296</v>
      </c>
      <c r="G419" s="94" t="s">
        <v>62</v>
      </c>
      <c r="H419" s="94" t="s">
        <v>403</v>
      </c>
      <c r="I419" s="95"/>
      <c r="J419" s="67"/>
      <c r="K419" s="67"/>
      <c r="L419" s="67"/>
      <c r="M419" s="67"/>
      <c r="N419" s="67"/>
      <c r="O419" s="67"/>
      <c r="P419" s="67"/>
      <c r="Q419" s="67"/>
      <c r="R419" s="96" t="s">
        <v>16</v>
      </c>
      <c r="S419" s="96"/>
      <c r="T419" s="32" t="s">
        <v>125</v>
      </c>
      <c r="U419" s="67"/>
    </row>
    <row r="420" spans="1:21" x14ac:dyDescent="0.25">
      <c r="A420" s="84">
        <v>31</v>
      </c>
      <c r="B420" s="92"/>
      <c r="C420" s="92" t="s">
        <v>65</v>
      </c>
      <c r="D420" s="92" t="s">
        <v>256</v>
      </c>
      <c r="E420" s="93" t="s">
        <v>399</v>
      </c>
      <c r="F420" s="94" t="s">
        <v>307</v>
      </c>
      <c r="G420" s="110" t="s">
        <v>64</v>
      </c>
      <c r="H420" s="94" t="s">
        <v>296</v>
      </c>
      <c r="I420" s="95"/>
      <c r="J420" s="67"/>
      <c r="K420" s="67"/>
      <c r="L420" s="67"/>
      <c r="M420" s="67"/>
      <c r="N420" s="67"/>
      <c r="O420" s="67"/>
      <c r="P420" s="67"/>
      <c r="Q420" s="67"/>
      <c r="R420" s="96" t="s">
        <v>17</v>
      </c>
      <c r="S420" s="96"/>
      <c r="T420" s="32" t="s">
        <v>14</v>
      </c>
      <c r="U420" s="67"/>
    </row>
    <row r="421" spans="1:21" x14ac:dyDescent="0.25">
      <c r="A421" s="84">
        <v>32</v>
      </c>
      <c r="B421" s="92"/>
      <c r="C421" s="92" t="s">
        <v>48</v>
      </c>
      <c r="D421" s="92" t="s">
        <v>247</v>
      </c>
      <c r="E421" s="93" t="s">
        <v>400</v>
      </c>
      <c r="F421" s="94" t="s">
        <v>375</v>
      </c>
      <c r="G421" s="94" t="s">
        <v>62</v>
      </c>
      <c r="H421" s="94" t="s">
        <v>401</v>
      </c>
      <c r="I421" s="95"/>
      <c r="J421" s="67"/>
      <c r="K421" s="67"/>
      <c r="L421" s="67"/>
      <c r="M421" s="67"/>
      <c r="N421" s="67"/>
      <c r="O421" s="67"/>
      <c r="P421" s="67"/>
      <c r="Q421" s="67"/>
      <c r="R421" s="96" t="s">
        <v>35</v>
      </c>
      <c r="S421" s="96"/>
      <c r="T421" s="32" t="s">
        <v>14</v>
      </c>
      <c r="U421" s="67"/>
    </row>
    <row r="422" spans="1:21" x14ac:dyDescent="0.25">
      <c r="A422" s="84">
        <v>33</v>
      </c>
      <c r="B422" s="92"/>
      <c r="C422" s="92" t="s">
        <v>47</v>
      </c>
      <c r="D422" s="92" t="s">
        <v>247</v>
      </c>
      <c r="E422" s="93" t="s">
        <v>402</v>
      </c>
      <c r="F422" s="94" t="s">
        <v>375</v>
      </c>
      <c r="G422" s="110" t="s">
        <v>64</v>
      </c>
      <c r="H422" s="94" t="s">
        <v>403</v>
      </c>
      <c r="I422" s="95"/>
      <c r="J422" s="67"/>
      <c r="K422" s="67"/>
      <c r="L422" s="67"/>
      <c r="M422" s="67"/>
      <c r="N422" s="67"/>
      <c r="O422" s="67"/>
      <c r="P422" s="67"/>
      <c r="Q422" s="67"/>
      <c r="R422" s="96" t="s">
        <v>50</v>
      </c>
      <c r="S422" s="96"/>
      <c r="T422" s="54" t="s">
        <v>313</v>
      </c>
      <c r="U422" s="67"/>
    </row>
    <row r="423" spans="1:21" x14ac:dyDescent="0.25">
      <c r="A423" s="84">
        <v>34</v>
      </c>
      <c r="B423" s="92"/>
      <c r="C423" s="92" t="s">
        <v>47</v>
      </c>
      <c r="D423" s="92" t="s">
        <v>247</v>
      </c>
      <c r="E423" s="93" t="s">
        <v>404</v>
      </c>
      <c r="F423" s="94" t="s">
        <v>375</v>
      </c>
      <c r="G423" s="110" t="s">
        <v>64</v>
      </c>
      <c r="H423" s="94" t="s">
        <v>403</v>
      </c>
      <c r="I423" s="95"/>
      <c r="J423" s="67"/>
      <c r="K423" s="67"/>
      <c r="L423" s="67"/>
      <c r="M423" s="67"/>
      <c r="N423" s="67"/>
      <c r="O423" s="67"/>
      <c r="P423" s="67"/>
      <c r="Q423" s="67"/>
      <c r="R423" s="96" t="s">
        <v>124</v>
      </c>
      <c r="S423" s="96"/>
      <c r="T423" s="32" t="s">
        <v>125</v>
      </c>
      <c r="U423" s="67"/>
    </row>
    <row r="424" spans="1:21" x14ac:dyDescent="0.25">
      <c r="A424" s="84">
        <v>35</v>
      </c>
      <c r="B424" s="92"/>
      <c r="C424" s="92" t="s">
        <v>46</v>
      </c>
      <c r="D424" s="92" t="s">
        <v>247</v>
      </c>
      <c r="E424" s="93" t="s">
        <v>405</v>
      </c>
      <c r="F424" s="94" t="s">
        <v>403</v>
      </c>
      <c r="G424" s="110" t="s">
        <v>64</v>
      </c>
      <c r="H424" s="94" t="s">
        <v>403</v>
      </c>
      <c r="I424" s="95"/>
      <c r="J424" s="67"/>
      <c r="K424" s="67"/>
      <c r="L424" s="67"/>
      <c r="M424" s="67"/>
      <c r="N424" s="67"/>
      <c r="O424" s="67"/>
      <c r="P424" s="67"/>
      <c r="Q424" s="67"/>
      <c r="R424" s="96" t="s">
        <v>16</v>
      </c>
      <c r="S424" s="96"/>
      <c r="T424" s="32" t="s">
        <v>14</v>
      </c>
      <c r="U424" s="67"/>
    </row>
    <row r="425" spans="1:21" x14ac:dyDescent="0.25">
      <c r="A425" s="84">
        <v>36</v>
      </c>
      <c r="B425" s="92"/>
      <c r="C425" s="92" t="s">
        <v>406</v>
      </c>
      <c r="D425" s="92" t="s">
        <v>256</v>
      </c>
      <c r="E425" s="93" t="s">
        <v>407</v>
      </c>
      <c r="F425" s="94" t="s">
        <v>403</v>
      </c>
      <c r="G425" s="110" t="s">
        <v>64</v>
      </c>
      <c r="H425" s="94" t="s">
        <v>403</v>
      </c>
      <c r="I425" s="95"/>
      <c r="J425" s="67"/>
      <c r="K425" s="67"/>
      <c r="L425" s="67"/>
      <c r="M425" s="67"/>
      <c r="N425" s="67"/>
      <c r="O425" s="67"/>
      <c r="P425" s="67"/>
      <c r="Q425" s="67"/>
      <c r="R425" s="96" t="s">
        <v>17</v>
      </c>
      <c r="S425" s="96"/>
      <c r="T425" s="54" t="s">
        <v>313</v>
      </c>
      <c r="U425" s="67"/>
    </row>
    <row r="426" spans="1:21" x14ac:dyDescent="0.25">
      <c r="A426" s="84"/>
      <c r="B426" s="92"/>
      <c r="C426" s="92"/>
      <c r="D426" s="92"/>
      <c r="E426" s="93"/>
      <c r="F426" s="94"/>
      <c r="G426" s="94"/>
      <c r="H426" s="94"/>
      <c r="I426" s="95"/>
      <c r="J426" s="67"/>
      <c r="K426" s="67"/>
      <c r="L426" s="67"/>
      <c r="M426" s="67"/>
      <c r="N426" s="67"/>
      <c r="O426" s="67"/>
      <c r="P426" s="67"/>
      <c r="Q426" s="67"/>
      <c r="R426" s="96"/>
      <c r="S426" s="96"/>
      <c r="T426" s="67"/>
      <c r="U426" s="67"/>
    </row>
    <row r="427" spans="1:21" x14ac:dyDescent="0.25">
      <c r="A427" s="84"/>
      <c r="B427" s="92"/>
      <c r="C427" s="92"/>
      <c r="D427" s="92"/>
      <c r="E427" s="93"/>
      <c r="F427" s="94"/>
      <c r="G427" s="94"/>
      <c r="H427" s="94"/>
      <c r="I427" s="95"/>
      <c r="J427" s="67"/>
      <c r="K427" s="67"/>
      <c r="L427" s="67"/>
      <c r="M427" s="67"/>
      <c r="N427" s="67"/>
      <c r="O427" s="67"/>
      <c r="P427" s="67"/>
      <c r="Q427" s="67"/>
      <c r="R427" s="96"/>
      <c r="S427" s="96"/>
      <c r="T427" s="67"/>
      <c r="U427" s="67"/>
    </row>
    <row r="428" spans="1:21" x14ac:dyDescent="0.25">
      <c r="A428" s="84"/>
      <c r="B428" s="92"/>
      <c r="C428" s="92"/>
      <c r="D428" s="92"/>
      <c r="E428" s="93"/>
      <c r="F428" s="94"/>
      <c r="G428" s="94"/>
      <c r="H428" s="94"/>
      <c r="I428" s="95"/>
      <c r="J428" s="67"/>
      <c r="K428" s="67"/>
      <c r="L428" s="67"/>
      <c r="M428" s="67"/>
      <c r="N428" s="67"/>
      <c r="O428" s="67"/>
      <c r="P428" s="67"/>
      <c r="Q428" s="67"/>
      <c r="R428" s="96"/>
      <c r="S428" s="96"/>
      <c r="T428" s="67"/>
      <c r="U428" s="67"/>
    </row>
    <row r="429" spans="1:21" x14ac:dyDescent="0.25">
      <c r="A429" s="97"/>
      <c r="B429" s="98"/>
      <c r="C429" s="98"/>
      <c r="D429" s="98"/>
      <c r="E429" s="98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9"/>
      <c r="S429" s="99"/>
      <c r="T429" s="97"/>
      <c r="U429" s="97"/>
    </row>
    <row r="430" spans="1:21" x14ac:dyDescent="0.25">
      <c r="A430" s="100"/>
      <c r="B430" s="101"/>
      <c r="C430" s="101"/>
      <c r="D430" s="101"/>
      <c r="E430" s="102"/>
      <c r="F430" s="103"/>
      <c r="G430" s="103"/>
      <c r="H430" s="104"/>
      <c r="I430" s="105" t="s">
        <v>104</v>
      </c>
      <c r="J430" s="104">
        <f t="shared" ref="J430:O430" si="0">SUM(J7:J429)</f>
        <v>0</v>
      </c>
      <c r="K430" s="104">
        <f t="shared" si="0"/>
        <v>990.0559999999997</v>
      </c>
      <c r="L430" s="104">
        <f t="shared" si="0"/>
        <v>0</v>
      </c>
      <c r="M430" s="104">
        <f t="shared" si="0"/>
        <v>0</v>
      </c>
      <c r="N430" s="104">
        <f t="shared" si="0"/>
        <v>0</v>
      </c>
      <c r="O430" s="104">
        <f t="shared" si="0"/>
        <v>0</v>
      </c>
      <c r="P430" s="104"/>
      <c r="Q430" s="104"/>
      <c r="R430" s="104"/>
      <c r="S430" s="104"/>
      <c r="T430" s="100"/>
      <c r="U430" s="100"/>
    </row>
    <row r="431" spans="1:21" ht="19.5" thickBot="1" x14ac:dyDescent="0.3">
      <c r="A431" s="131" t="s">
        <v>105</v>
      </c>
      <c r="B431" s="132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4"/>
    </row>
    <row r="435" spans="2:3" x14ac:dyDescent="0.25">
      <c r="B435" s="137"/>
      <c r="C435" s="137"/>
    </row>
    <row r="436" spans="2:3" x14ac:dyDescent="0.25">
      <c r="B436" s="137"/>
      <c r="C436" s="137"/>
    </row>
    <row r="437" spans="2:3" x14ac:dyDescent="0.25">
      <c r="B437" s="137"/>
      <c r="C437" s="137"/>
    </row>
    <row r="438" spans="2:3" x14ac:dyDescent="0.25">
      <c r="B438" s="137"/>
      <c r="C438" s="137"/>
    </row>
    <row r="439" spans="2:3" x14ac:dyDescent="0.25">
      <c r="B439" s="137"/>
      <c r="C439" s="137"/>
    </row>
    <row r="440" spans="2:3" x14ac:dyDescent="0.25">
      <c r="B440" s="137"/>
      <c r="C440" s="137"/>
    </row>
    <row r="441" spans="2:3" x14ac:dyDescent="0.25">
      <c r="B441" s="137"/>
      <c r="C441" s="137"/>
    </row>
    <row r="442" spans="2:3" x14ac:dyDescent="0.25">
      <c r="B442" s="137"/>
      <c r="C442" s="137"/>
    </row>
    <row r="443" spans="2:3" x14ac:dyDescent="0.25">
      <c r="B443" s="137"/>
      <c r="C443" s="137"/>
    </row>
    <row r="444" spans="2:3" x14ac:dyDescent="0.25">
      <c r="B444" s="137"/>
      <c r="C444" s="137"/>
    </row>
    <row r="445" spans="2:3" x14ac:dyDescent="0.25">
      <c r="B445" s="137"/>
      <c r="C445" s="137"/>
    </row>
    <row r="446" spans="2:3" x14ac:dyDescent="0.25">
      <c r="B446" s="137"/>
      <c r="C446" s="137"/>
    </row>
    <row r="447" spans="2:3" x14ac:dyDescent="0.25">
      <c r="B447" s="137"/>
      <c r="C447" s="137"/>
    </row>
    <row r="448" spans="2:3" x14ac:dyDescent="0.25">
      <c r="B448" s="137"/>
      <c r="C448" s="137"/>
    </row>
    <row r="449" spans="2:3" x14ac:dyDescent="0.25">
      <c r="B449" s="137"/>
      <c r="C449" s="137"/>
    </row>
    <row r="450" spans="2:3" x14ac:dyDescent="0.25">
      <c r="B450" s="137"/>
      <c r="C450" s="137"/>
    </row>
    <row r="451" spans="2:3" x14ac:dyDescent="0.25">
      <c r="B451" s="137"/>
      <c r="C451" s="137"/>
    </row>
    <row r="452" spans="2:3" x14ac:dyDescent="0.25">
      <c r="B452" s="137"/>
      <c r="C452" s="137"/>
    </row>
    <row r="453" spans="2:3" x14ac:dyDescent="0.25">
      <c r="B453" s="137"/>
      <c r="C453" s="137"/>
    </row>
    <row r="454" spans="2:3" x14ac:dyDescent="0.25">
      <c r="B454" s="137"/>
      <c r="C454" s="137"/>
    </row>
    <row r="455" spans="2:3" x14ac:dyDescent="0.25">
      <c r="B455" s="137"/>
      <c r="C455" s="137"/>
    </row>
    <row r="457" spans="2:3" x14ac:dyDescent="0.25">
      <c r="B457" s="137"/>
      <c r="C457" s="137"/>
    </row>
    <row r="460" spans="2:3" x14ac:dyDescent="0.25">
      <c r="B460" s="137"/>
      <c r="C460" s="137"/>
    </row>
    <row r="461" spans="2:3" x14ac:dyDescent="0.25">
      <c r="B461" s="137"/>
      <c r="C461" s="137"/>
    </row>
    <row r="462" spans="2:3" x14ac:dyDescent="0.25">
      <c r="B462" s="137"/>
      <c r="C462" s="137"/>
    </row>
    <row r="463" spans="2:3" x14ac:dyDescent="0.25">
      <c r="B463" s="137"/>
      <c r="C463" s="137"/>
    </row>
    <row r="466" spans="2:3" x14ac:dyDescent="0.25">
      <c r="B466" s="137"/>
      <c r="C466" s="137"/>
    </row>
    <row r="467" spans="2:3" x14ac:dyDescent="0.25">
      <c r="B467" s="137"/>
      <c r="C467" s="137"/>
    </row>
    <row r="468" spans="2:3" x14ac:dyDescent="0.25">
      <c r="B468" s="137"/>
      <c r="C468" s="137"/>
    </row>
    <row r="471" spans="2:3" x14ac:dyDescent="0.25">
      <c r="B471" s="137"/>
      <c r="C471" s="137"/>
    </row>
    <row r="472" spans="2:3" x14ac:dyDescent="0.25">
      <c r="B472" s="137"/>
      <c r="C472" s="137"/>
    </row>
  </sheetData>
  <mergeCells count="37">
    <mergeCell ref="B472:C472"/>
    <mergeCell ref="B463:C463"/>
    <mergeCell ref="B466:C466"/>
    <mergeCell ref="B467:C467"/>
    <mergeCell ref="B468:C468"/>
    <mergeCell ref="B471:C471"/>
    <mergeCell ref="B455:C455"/>
    <mergeCell ref="B457:C457"/>
    <mergeCell ref="B460:C460"/>
    <mergeCell ref="B461:C461"/>
    <mergeCell ref="B462:C462"/>
    <mergeCell ref="B450:C450"/>
    <mergeCell ref="B451:C451"/>
    <mergeCell ref="B452:C452"/>
    <mergeCell ref="B453:C453"/>
    <mergeCell ref="B454:C454"/>
    <mergeCell ref="B445:C445"/>
    <mergeCell ref="B446:C446"/>
    <mergeCell ref="B447:C447"/>
    <mergeCell ref="B448:C448"/>
    <mergeCell ref="B449:C449"/>
    <mergeCell ref="B440:C440"/>
    <mergeCell ref="B441:C441"/>
    <mergeCell ref="B442:C442"/>
    <mergeCell ref="B443:C443"/>
    <mergeCell ref="B444:C444"/>
    <mergeCell ref="B435:C435"/>
    <mergeCell ref="B436:C436"/>
    <mergeCell ref="B437:C437"/>
    <mergeCell ref="B438:C438"/>
    <mergeCell ref="B439:C439"/>
    <mergeCell ref="A1:U2"/>
    <mergeCell ref="C3:D3"/>
    <mergeCell ref="E3:U3"/>
    <mergeCell ref="E4:U4"/>
    <mergeCell ref="A431:U431"/>
    <mergeCell ref="C4:D4"/>
  </mergeCells>
  <phoneticPr fontId="21" type="noConversion"/>
  <conditionalFormatting sqref="A19:B22 A76:B76 R130:R133 F131:O131 T131 A130:B133 F133:O133 U133 R192 U192 A286:B286 I286:S286 A287:U287 A288:O288 S290 H291:H292 A349:U349 I351:S352 A353:U353 A357:U357 A362:U363 I364:O364 T364:U364 A365:U365 A366:O366 R366 T366:U366 I367:U368 A369:U369 A373:U373 A378:U378 A381:U381 F132:U132 U286 U290 A350:S350 U350:U352 A354:S354 U354:U356 I355:S356 A358:S358 U358:U361 U370:U372 U374:U377 G116:G117 A118:U118 A426:U429 U391:U425 A391:S411 A416:S425 A412:G415 I412:S415 G286 G290:Q290 A289:B290 G289:O289 F289:F292 I360:S361 I370:S372 I374:S377 I379:S380 I382:S383 A384:U384 U379:U380 U382:U383 A389:U390 U385:U388 D76:G76 A117:B117 D117:U117 D131:D133 D130:O130 D286:E286 D289:E290 C289:C292 A294:B348 D294:D348 A351:G352 A355:G356 D359:S359 D360:G361 A359:C361 A364:G364 A367:G368 A370:G372 A374:G377 A379:G380 A382:G383 A387:S388 A385:G386 I385:S386">
    <cfRule type="expression" priority="923">
      <formula>SEARCH("BILLING DONE", $B19) &gt; 0</formula>
    </cfRule>
    <cfRule type="expression" dxfId="419" priority="924">
      <formula>SEARCH("NOT BILLED", $B19) &gt; 0</formula>
    </cfRule>
  </conditionalFormatting>
  <conditionalFormatting sqref="A46:B46">
    <cfRule type="expression" priority="915">
      <formula>SEARCH("BILLING DONE", $B46) &gt; 0</formula>
    </cfRule>
    <cfRule type="expression" dxfId="418" priority="916">
      <formula>SEARCH("NOT BILLED", $B46) &gt; 0</formula>
    </cfRule>
  </conditionalFormatting>
  <conditionalFormatting sqref="A49:C49 C50:C52">
    <cfRule type="expression" priority="911">
      <formula>SEARCH("BILLING DONE", $B49) &gt; 0</formula>
    </cfRule>
    <cfRule type="expression" dxfId="417" priority="912">
      <formula>SEARCH("NOT BILLED", $B49) &gt; 0</formula>
    </cfRule>
  </conditionalFormatting>
  <conditionalFormatting sqref="A54:C54 A57:C57 A60:C60 A68:C68 A71:C71 A75:C75 A80:C80 A85:C85 G85:G87 A89:C89 A92:C92 G92:G94 A96:C96 A100:C100 A110:C110 A113:C113 G113:G114 A116:C116 A119:C119 A124:C124 G124:G125 A127:C127 A137:C137 A141:C141 A145:C145 A147:C147 A152:C152 A157:C157 A161:C161 G161:G165 A167:C167 A170:C170 A173:C173 A176:C176 A180:C180 C55 C58 C61:C66 C69 C72:C73 C76:C78 C81:C83 C86:C87 C90 C93:C94 C97 C101:C107 C111 C114 C117 C120:C122 C125 C128:C135 C138:C139 C142:C143 C148:C150 C153:C155 C158:C159 C162:C165 C168 C171 C174 C177:C178 C181 A183:C184">
    <cfRule type="expression" priority="1721">
      <formula>SEARCH("BILLING DONE", $B54) &gt; 0</formula>
    </cfRule>
    <cfRule type="expression" dxfId="416" priority="1722">
      <formula>SEARCH("NOT BILLED", $B54) &gt; 0</formula>
    </cfRule>
  </conditionalFormatting>
  <conditionalFormatting sqref="D19:U22 A23:U23 A24:B27 D24:U27 E46:U46 A48:U48 E49:U49 A53:U53 E54:U54 A56:U56 E57:U57 A59:U59 E60:U60 A67:U67 E68:U68 A70:U70 E71:U71 A74:U74 E75:U75 H76:O76 A77:B78 A79:U79 E80:S80 A84:U84 E85:U85 A88:U88 E89:U89 A91:U91 E92:U92 A95:U95 E96:U96 A98:U99 E100:U100 A108:U109 E110:U110 A112:U112 E113:U113 E116:U116 E119:U119 A123:U123 E124:U124 A126:U126 E127:U127 G127:G128 A128:B129 A136:U136 E137:U137 A140:U140 E141:U141 A144:U144 E145:U145 A146:U146 E147:P147 R147:U150 A148:B150 A151:U151 E152:U152 I153:P153 R153 T153:U153 A153:B155 R154:U154 I154:O155 R155 T155:U155 A156:U156 E157:U157 A158:B159 A160:U160 E161:U161 A166:U166 E167:U167 A169:U169 E170:U170 A172:U172 E173:U173 A175:U175 E176:G176 I176:U178 A177:B178 A179:U179 E180:S180 A182:U182 A185:U185 I187:S187 A188:U190 R191:S191 A191:P192 A193:U193 A194:G194 R196:S196 I197:Q197 S197:U197 R279:R280 U279:U280 A285:P285 U285 H286 A291:B292 I292:U292 A293:U293 F294:S294 I295:S295 F295:G299 J296:R296 I297:S299 G302:G306 I302:S306 I309:S312 G313:S314 I315:S315 I318:S318 I339:S339 I347:O347 G348 J348:U348 A431:U431 Q76:U78 T80:U82 A115:U115 U196 T194:T197 U191 T191:T192 A186:S186 T186:U187 E183:U184 A181:B181 T180:U181 I159:U159 I291:S291 U291 T290:T292 T295:T296 T298:T299 T301:T302 T304:T305 T309:T310 T312:T313 T315:T316 T318:T319 I321:T321 T324:T325 T327:T328 T330:T331 T333:T334 T338 U294:U347 F286 G291:G292 F302:F348 G309:G318 S336:T336 S337:S338 S325:S335 S343:T344 S346:T346 S340:T341 S345 S342 R340:R347 G319:S320 G316:S317 S307:T307 S308 A6:U18 A28:U45 A47:B47 D47:U47 A50:B52 D50:U52 A55:B55 D55:U55 A58:B58 D58:U58 A61:B66 D61:U66 A69:B69 D69:U69 A72:B73 D72:U73 D77:O78 D81:S82 A81:B83 D83:U83 A86:B87 D86:U87 A90:B90 D90:U90 A93:B94 D93:U94 A97:B97 D97:U97 A101:B107 D101:U107 A111:B111 D111:U111 A114:B114 D114:U114 A120:B122 D120:U122 A125:B125 D125:U125 A134:B135 D134:U135 D128:U129 A138:B139 D138:U139 A142:B143 D142:U143 D150:O150 D148:P149 D153:G155 D159:G159 D158:U158 A162:B165 D162:U165 A168:B168 D168:U168 A171:B171 D171:U171 A174:B174 D174:U174 D177:G178 D181:S181 A187:G187 D196:G197 D195 A195:C197 A198:U278 A279:P280 A281:U284 C286 D291:E292 F300:S301 G307:R308 I322:S324 I325:R338 G320:G346 I340:Q346">
    <cfRule type="expression" priority="919">
      <formula>SEARCH("BILLING DONE", $B6) &gt; 0</formula>
    </cfRule>
    <cfRule type="expression" dxfId="415" priority="920">
      <formula>SEARCH("NOT BILLED", $B6) &gt; 0</formula>
    </cfRule>
  </conditionalFormatting>
  <conditionalFormatting sqref="C19:C22">
    <cfRule type="expression" priority="921">
      <formula>SEARCH("BILLING DONE", $B19) &gt; 0</formula>
    </cfRule>
    <cfRule type="expression" dxfId="414" priority="922">
      <formula>SEARCH("NOT BILLED", $B19) &gt; 0</formula>
    </cfRule>
  </conditionalFormatting>
  <conditionalFormatting sqref="C24:C27">
    <cfRule type="expression" priority="917">
      <formula>SEARCH("BILLING DONE", $B24) &gt; 0</formula>
    </cfRule>
    <cfRule type="expression" dxfId="413" priority="918">
      <formula>SEARCH("NOT BILLED", $B24) &gt; 0</formula>
    </cfRule>
  </conditionalFormatting>
  <conditionalFormatting sqref="C46:C47">
    <cfRule type="expression" priority="841">
      <formula>SEARCH("BILLING DONE", $B46) &gt; 0</formula>
    </cfRule>
    <cfRule type="expression" dxfId="412" priority="842">
      <formula>SEARCH("NOT BILLED", $B46) &gt; 0</formula>
    </cfRule>
  </conditionalFormatting>
  <conditionalFormatting sqref="D46">
    <cfRule type="expression" priority="913">
      <formula>SEARCH("BILLING DONE", $B46) &gt; 0</formula>
    </cfRule>
    <cfRule type="expression" dxfId="411" priority="914">
      <formula>SEARCH("NOT BILLED", $B46) &gt; 0</formula>
    </cfRule>
  </conditionalFormatting>
  <conditionalFormatting sqref="D49">
    <cfRule type="expression" priority="909">
      <formula>SEARCH("BILLING DONE", $B49) &gt; 0</formula>
    </cfRule>
    <cfRule type="expression" dxfId="410" priority="910">
      <formula>SEARCH("NOT BILLED", $B49) &gt; 0</formula>
    </cfRule>
  </conditionalFormatting>
  <conditionalFormatting sqref="D54">
    <cfRule type="expression" priority="989">
      <formula>SEARCH("BILLING DONE", $B54) &gt; 0</formula>
    </cfRule>
    <cfRule type="expression" dxfId="409" priority="990">
      <formula>SEARCH("NOT BILLED", $B54) &gt; 0</formula>
    </cfRule>
  </conditionalFormatting>
  <conditionalFormatting sqref="D57">
    <cfRule type="expression" priority="907">
      <formula>SEARCH("BILLING DONE", $B57) &gt; 0</formula>
    </cfRule>
    <cfRule type="expression" dxfId="408" priority="908">
      <formula>SEARCH("NOT BILLED", $B57) &gt; 0</formula>
    </cfRule>
  </conditionalFormatting>
  <conditionalFormatting sqref="D60">
    <cfRule type="expression" priority="905">
      <formula>SEARCH("BILLING DONE", $B60) &gt; 0</formula>
    </cfRule>
    <cfRule type="expression" dxfId="407" priority="906">
      <formula>SEARCH("NOT BILLED", $B60) &gt; 0</formula>
    </cfRule>
  </conditionalFormatting>
  <conditionalFormatting sqref="D68">
    <cfRule type="expression" priority="903">
      <formula>SEARCH("BILLING DONE", $B68) &gt; 0</formula>
    </cfRule>
    <cfRule type="expression" dxfId="406" priority="904">
      <formula>SEARCH("NOT BILLED", $B68) &gt; 0</formula>
    </cfRule>
  </conditionalFormatting>
  <conditionalFormatting sqref="D71">
    <cfRule type="expression" priority="901">
      <formula>SEARCH("BILLING DONE", $B71) &gt; 0</formula>
    </cfRule>
    <cfRule type="expression" dxfId="405" priority="902">
      <formula>SEARCH("NOT BILLED", $B71) &gt; 0</formula>
    </cfRule>
  </conditionalFormatting>
  <conditionalFormatting sqref="D75">
    <cfRule type="expression" priority="899">
      <formula>SEARCH("BILLING DONE", $B75) &gt; 0</formula>
    </cfRule>
    <cfRule type="expression" dxfId="404" priority="900">
      <formula>SEARCH("NOT BILLED", $B75) &gt; 0</formula>
    </cfRule>
  </conditionalFormatting>
  <conditionalFormatting sqref="D80">
    <cfRule type="expression" priority="897">
      <formula>SEARCH("BILLING DONE", $B80) &gt; 0</formula>
    </cfRule>
    <cfRule type="expression" dxfId="403" priority="898">
      <formula>SEARCH("NOT BILLED", $B80) &gt; 0</formula>
    </cfRule>
  </conditionalFormatting>
  <conditionalFormatting sqref="D85">
    <cfRule type="expression" priority="895">
      <formula>SEARCH("BILLING DONE", $B85) &gt; 0</formula>
    </cfRule>
    <cfRule type="expression" dxfId="402" priority="896">
      <formula>SEARCH("NOT BILLED", $B85) &gt; 0</formula>
    </cfRule>
  </conditionalFormatting>
  <conditionalFormatting sqref="D89">
    <cfRule type="expression" priority="985">
      <formula>SEARCH("BILLING DONE", $B89) &gt; 0</formula>
    </cfRule>
    <cfRule type="expression" dxfId="401" priority="986">
      <formula>SEARCH("NOT BILLED", $B89) &gt; 0</formula>
    </cfRule>
  </conditionalFormatting>
  <conditionalFormatting sqref="D92">
    <cfRule type="expression" priority="893">
      <formula>SEARCH("BILLING DONE", $B92) &gt; 0</formula>
    </cfRule>
    <cfRule type="expression" dxfId="400" priority="894">
      <formula>SEARCH("NOT BILLED", $B92) &gt; 0</formula>
    </cfRule>
  </conditionalFormatting>
  <conditionalFormatting sqref="D96">
    <cfRule type="expression" priority="891">
      <formula>SEARCH("BILLING DONE", $B96) &gt; 0</formula>
    </cfRule>
    <cfRule type="expression" dxfId="399" priority="892">
      <formula>SEARCH("NOT BILLED", $B96) &gt; 0</formula>
    </cfRule>
  </conditionalFormatting>
  <conditionalFormatting sqref="D100">
    <cfRule type="expression" priority="889">
      <formula>SEARCH("BILLING DONE", $B100) &gt; 0</formula>
    </cfRule>
    <cfRule type="expression" dxfId="398" priority="890">
      <formula>SEARCH("NOT BILLED", $B100) &gt; 0</formula>
    </cfRule>
  </conditionalFormatting>
  <conditionalFormatting sqref="D110">
    <cfRule type="expression" priority="887">
      <formula>SEARCH("BILLING DONE", $B110) &gt; 0</formula>
    </cfRule>
    <cfRule type="expression" dxfId="397" priority="888">
      <formula>SEARCH("NOT BILLED", $B110) &gt; 0</formula>
    </cfRule>
  </conditionalFormatting>
  <conditionalFormatting sqref="D113">
    <cfRule type="expression" priority="885">
      <formula>SEARCH("BILLING DONE", $B113) &gt; 0</formula>
    </cfRule>
    <cfRule type="expression" dxfId="396" priority="886">
      <formula>SEARCH("NOT BILLED", $B113) &gt; 0</formula>
    </cfRule>
  </conditionalFormatting>
  <conditionalFormatting sqref="D116">
    <cfRule type="expression" priority="883">
      <formula>SEARCH("BILLING DONE", $B116) &gt; 0</formula>
    </cfRule>
    <cfRule type="expression" dxfId="395" priority="884">
      <formula>SEARCH("NOT BILLED", $B116) &gt; 0</formula>
    </cfRule>
  </conditionalFormatting>
  <conditionalFormatting sqref="D119">
    <cfRule type="expression" priority="881">
      <formula>SEARCH("BILLING DONE", $B119) &gt; 0</formula>
    </cfRule>
    <cfRule type="expression" dxfId="394" priority="882">
      <formula>SEARCH("NOT BILLED", $B119) &gt; 0</formula>
    </cfRule>
  </conditionalFormatting>
  <conditionalFormatting sqref="D124">
    <cfRule type="expression" priority="879">
      <formula>SEARCH("BILLING DONE", $B124) &gt; 0</formula>
    </cfRule>
    <cfRule type="expression" dxfId="393" priority="880">
      <formula>SEARCH("NOT BILLED", $B124) &gt; 0</formula>
    </cfRule>
  </conditionalFormatting>
  <conditionalFormatting sqref="D127">
    <cfRule type="expression" priority="877">
      <formula>SEARCH("BILLING DONE", $B127) &gt; 0</formula>
    </cfRule>
    <cfRule type="expression" dxfId="392" priority="878">
      <formula>SEARCH("NOT BILLED", $B127) &gt; 0</formula>
    </cfRule>
  </conditionalFormatting>
  <conditionalFormatting sqref="D137">
    <cfRule type="expression" priority="875">
      <formula>SEARCH("BILLING DONE", $B137) &gt; 0</formula>
    </cfRule>
    <cfRule type="expression" dxfId="391" priority="876">
      <formula>SEARCH("NOT BILLED", $B137) &gt; 0</formula>
    </cfRule>
  </conditionalFormatting>
  <conditionalFormatting sqref="D141">
    <cfRule type="expression" priority="849">
      <formula>SEARCH("BILLING DONE", $B141) &gt; 0</formula>
    </cfRule>
    <cfRule type="expression" dxfId="390" priority="850">
      <formula>SEARCH("NOT BILLED", $B141) &gt; 0</formula>
    </cfRule>
  </conditionalFormatting>
  <conditionalFormatting sqref="D145">
    <cfRule type="expression" priority="869">
      <formula>SEARCH("BILLING DONE", $B145) &gt; 0</formula>
    </cfRule>
    <cfRule type="expression" dxfId="389" priority="870">
      <formula>SEARCH("NOT BILLED", $B145) &gt; 0</formula>
    </cfRule>
  </conditionalFormatting>
  <conditionalFormatting sqref="D147">
    <cfRule type="expression" priority="867">
      <formula>SEARCH("BILLING DONE", $B147) &gt; 0</formula>
    </cfRule>
    <cfRule type="expression" dxfId="388" priority="868">
      <formula>SEARCH("NOT BILLED", $B147) &gt; 0</formula>
    </cfRule>
  </conditionalFormatting>
  <conditionalFormatting sqref="D152">
    <cfRule type="expression" priority="865">
      <formula>SEARCH("BILLING DONE", $B152) &gt; 0</formula>
    </cfRule>
    <cfRule type="expression" dxfId="387" priority="866">
      <formula>SEARCH("NOT BILLED", $B152) &gt; 0</formula>
    </cfRule>
  </conditionalFormatting>
  <conditionalFormatting sqref="D157">
    <cfRule type="expression" priority="863">
      <formula>SEARCH("BILLING DONE", $B157) &gt; 0</formula>
    </cfRule>
    <cfRule type="expression" dxfId="386" priority="864">
      <formula>SEARCH("NOT BILLED", $B157) &gt; 0</formula>
    </cfRule>
  </conditionalFormatting>
  <conditionalFormatting sqref="D161">
    <cfRule type="expression" priority="847">
      <formula>SEARCH("BILLING DONE", $B161) &gt; 0</formula>
    </cfRule>
    <cfRule type="expression" dxfId="385" priority="848">
      <formula>SEARCH("NOT BILLED", $B161) &gt; 0</formula>
    </cfRule>
  </conditionalFormatting>
  <conditionalFormatting sqref="D167">
    <cfRule type="expression" priority="861">
      <formula>SEARCH("BILLING DONE", $B167) &gt; 0</formula>
    </cfRule>
    <cfRule type="expression" dxfId="384" priority="862">
      <formula>SEARCH("NOT BILLED", $B167) &gt; 0</formula>
    </cfRule>
  </conditionalFormatting>
  <conditionalFormatting sqref="D170">
    <cfRule type="expression" priority="859">
      <formula>SEARCH("BILLING DONE", $B170) &gt; 0</formula>
    </cfRule>
    <cfRule type="expression" dxfId="383" priority="860">
      <formula>SEARCH("NOT BILLED", $B170) &gt; 0</formula>
    </cfRule>
  </conditionalFormatting>
  <conditionalFormatting sqref="D173">
    <cfRule type="expression" priority="857">
      <formula>SEARCH("BILLING DONE", $B173) &gt; 0</formula>
    </cfRule>
    <cfRule type="expression" dxfId="382" priority="858">
      <formula>SEARCH("NOT BILLED", $B173) &gt; 0</formula>
    </cfRule>
  </conditionalFormatting>
  <conditionalFormatting sqref="D176">
    <cfRule type="expression" priority="855">
      <formula>SEARCH("BILLING DONE", $B176) &gt; 0</formula>
    </cfRule>
    <cfRule type="expression" dxfId="381" priority="856">
      <formula>SEARCH("NOT BILLED", $B176) &gt; 0</formula>
    </cfRule>
  </conditionalFormatting>
  <conditionalFormatting sqref="D180">
    <cfRule type="expression" priority="853">
      <formula>SEARCH("BILLING DONE", $B180) &gt; 0</formula>
    </cfRule>
    <cfRule type="expression" dxfId="380" priority="854">
      <formula>SEARCH("NOT BILLED", $B180) &gt; 0</formula>
    </cfRule>
  </conditionalFormatting>
  <conditionalFormatting sqref="D183:D184">
    <cfRule type="expression" priority="851">
      <formula>SEARCH("BILLING DONE", $B183) &gt; 0</formula>
    </cfRule>
    <cfRule type="expression" dxfId="379" priority="852">
      <formula>SEARCH("NOT BILLED", $B183) &gt; 0</formula>
    </cfRule>
  </conditionalFormatting>
  <conditionalFormatting sqref="E131:E133">
    <cfRule type="expression" priority="477">
      <formula>SEARCH("BILLING DONE", $B131) &gt; 0</formula>
    </cfRule>
    <cfRule type="expression" dxfId="378" priority="478">
      <formula>SEARCH("NOT BILLED", $B131) &gt; 0</formula>
    </cfRule>
  </conditionalFormatting>
  <conditionalFormatting sqref="E294:E348">
    <cfRule type="expression" priority="623">
      <formula>SEARCH("BILLING DONE", $B294) &gt; 0</formula>
    </cfRule>
    <cfRule type="expression" dxfId="377" priority="624">
      <formula>SEARCH("NOT BILLED", $B294) &gt; 0</formula>
    </cfRule>
  </conditionalFormatting>
  <conditionalFormatting sqref="F430">
    <cfRule type="containsText" dxfId="376" priority="1977" operator="containsText" text="COMPLETED">
      <formula>NOT(ISERROR(SEARCH("COMPLETED",F430)))</formula>
    </cfRule>
    <cfRule type="containsText" dxfId="375" priority="1978" operator="containsText" text="HOLD">
      <formula>NOT(ISERROR(SEARCH("HOLD",F430)))</formula>
    </cfRule>
    <cfRule type="containsText" dxfId="374" priority="1979" operator="containsText" text="NOT YET STARTED">
      <formula>NOT(ISERROR(SEARCH("NOT YET STARTED",F430)))</formula>
    </cfRule>
    <cfRule type="containsText" dxfId="373" priority="1980" operator="containsText" text="IN PROGRESS">
      <formula>NOT(ISERROR(SEARCH("IN PROGRESS",F430)))</formula>
    </cfRule>
  </conditionalFormatting>
  <conditionalFormatting sqref="G5">
    <cfRule type="containsText" dxfId="372" priority="1981" operator="containsText" text="HOLD">
      <formula>NOT(ISERROR(SEARCH("HOLD",H5)))</formula>
    </cfRule>
    <cfRule type="containsText" dxfId="371" priority="1982" operator="containsText" text="IN PROGRESS">
      <formula>NOT(ISERROR(SEARCH("IN PROGRESS",G5)))</formula>
    </cfRule>
  </conditionalFormatting>
  <conditionalFormatting sqref="G5:G75">
    <cfRule type="containsText" dxfId="370" priority="1983" operator="containsText" text="NOT YET STARTED">
      <formula>NOT(ISERROR(SEARCH("NOT YET STARTED",G5)))</formula>
    </cfRule>
  </conditionalFormatting>
  <conditionalFormatting sqref="G6:G75">
    <cfRule type="containsText" dxfId="369" priority="1993" operator="containsText" text="IN PROGRESS">
      <formula>NOT(ISERROR(SEARCH("IN PROGRESS",G6)))</formula>
    </cfRule>
  </conditionalFormatting>
  <conditionalFormatting sqref="P106 C390 G6:G428">
    <cfRule type="containsText" dxfId="368" priority="999" operator="containsText" text="COMPLETED">
      <formula>NOT(ISERROR(SEARCH("COMPLETED",C6)))</formula>
    </cfRule>
    <cfRule type="containsText" dxfId="367" priority="1000" operator="containsText" text="HOLD">
      <formula>NOT(ISERROR(SEARCH("HOLD",C6)))</formula>
    </cfRule>
  </conditionalFormatting>
  <conditionalFormatting sqref="G76:G78">
    <cfRule type="expression" priority="779">
      <formula>SEARCH("BILLING DONE", $B76) &gt; 0</formula>
    </cfRule>
    <cfRule type="expression" dxfId="366" priority="780">
      <formula>SEARCH("NOT BILLED", $B76) &gt; 0</formula>
    </cfRule>
  </conditionalFormatting>
  <conditionalFormatting sqref="P106 C390 G76:G428">
    <cfRule type="containsText" dxfId="365" priority="1001" operator="containsText" text="NOT YET STARTED">
      <formula>NOT(ISERROR(SEARCH("NOT YET STARTED",C76)))</formula>
    </cfRule>
    <cfRule type="containsText" dxfId="364" priority="1002" operator="containsText" text="IN PROGRESS">
      <formula>NOT(ISERROR(SEARCH("IN PROGRESS",C76)))</formula>
    </cfRule>
  </conditionalFormatting>
  <conditionalFormatting sqref="G77:G78">
    <cfRule type="containsText" dxfId="363" priority="797" operator="containsText" text="COMPLETED">
      <formula>NOT(ISERROR(SEARCH("COMPLETED",G77)))</formula>
    </cfRule>
    <cfRule type="containsText" dxfId="362" priority="798" operator="containsText" text="HOLD">
      <formula>NOT(ISERROR(SEARCH("HOLD",G77)))</formula>
    </cfRule>
    <cfRule type="containsText" dxfId="361" priority="799" operator="containsText" text="NOT YET STARTED">
      <formula>NOT(ISERROR(SEARCH("NOT YET STARTED",G77)))</formula>
    </cfRule>
    <cfRule type="containsText" dxfId="360" priority="800" operator="containsText" text="IN PROGRESS">
      <formula>NOT(ISERROR(SEARCH("IN PROGRESS",G77)))</formula>
    </cfRule>
  </conditionalFormatting>
  <conditionalFormatting sqref="G100:G104">
    <cfRule type="expression" priority="643">
      <formula>SEARCH("BILLING DONE", $B100) &gt; 0</formula>
    </cfRule>
    <cfRule type="expression" dxfId="359" priority="644">
      <formula>SEARCH("NOT BILLED", $B100) &gt; 0</formula>
    </cfRule>
  </conditionalFormatting>
  <conditionalFormatting sqref="G104">
    <cfRule type="containsText" dxfId="358" priority="645" operator="containsText" text="COMPLETED">
      <formula>NOT(ISERROR(SEARCH("COMPLETED",G104)))</formula>
    </cfRule>
    <cfRule type="containsText" dxfId="357" priority="646" operator="containsText" text="HOLD">
      <formula>NOT(ISERROR(SEARCH("HOLD",G104)))</formula>
    </cfRule>
    <cfRule type="containsText" dxfId="356" priority="647" operator="containsText" text="NOT YET STARTED">
      <formula>NOT(ISERROR(SEARCH("NOT YET STARTED",G104)))</formula>
    </cfRule>
    <cfRule type="containsText" dxfId="355" priority="648" operator="containsText" text="IN PROGRESS">
      <formula>NOT(ISERROR(SEARCH("IN PROGRESS",G104)))</formula>
    </cfRule>
  </conditionalFormatting>
  <conditionalFormatting sqref="G106:G107">
    <cfRule type="expression" priority="743">
      <formula>SEARCH("BILLING DONE", $B106) &gt; 0</formula>
    </cfRule>
    <cfRule type="expression" dxfId="354" priority="744">
      <formula>SEARCH("NOT BILLED", $B106) &gt; 0</formula>
    </cfRule>
  </conditionalFormatting>
  <conditionalFormatting sqref="G130:G133">
    <cfRule type="expression" priority="481">
      <formula>SEARCH("BILLING DONE", $B130) &gt; 0</formula>
    </cfRule>
    <cfRule type="expression" dxfId="353" priority="482">
      <formula>SEARCH("NOT BILLED", $B130) &gt; 0</formula>
    </cfRule>
  </conditionalFormatting>
  <conditionalFormatting sqref="G142">
    <cfRule type="expression" priority="823">
      <formula>SEARCH("BILLING DONE", $B142) &gt; 0</formula>
    </cfRule>
    <cfRule type="expression" dxfId="352" priority="824">
      <formula>SEARCH("NOT BILLED", $B142) &gt; 0</formula>
    </cfRule>
  </conditionalFormatting>
  <conditionalFormatting sqref="G147:G150">
    <cfRule type="expression" priority="389">
      <formula>SEARCH("BILLING DONE", $B147) &gt; 0</formula>
    </cfRule>
    <cfRule type="expression" dxfId="351" priority="390">
      <formula>SEARCH("NOT BILLED", $B147) &gt; 0</formula>
    </cfRule>
  </conditionalFormatting>
  <conditionalFormatting sqref="G153:G155">
    <cfRule type="expression" priority="343">
      <formula>SEARCH("BILLING DONE", $B153) &gt; 0</formula>
    </cfRule>
    <cfRule type="expression" dxfId="350" priority="344">
      <formula>SEARCH("NOT BILLED", $B153) &gt; 0</formula>
    </cfRule>
  </conditionalFormatting>
  <conditionalFormatting sqref="G176:G178">
    <cfRule type="expression" priority="351">
      <formula>SEARCH("BILLING DONE", $B176) &gt; 0</formula>
    </cfRule>
    <cfRule type="expression" dxfId="349" priority="352">
      <formula>SEARCH("NOT BILLED", $B176) &gt; 0</formula>
    </cfRule>
  </conditionalFormatting>
  <conditionalFormatting sqref="G195:G197">
    <cfRule type="expression" priority="305">
      <formula>SEARCH("BILLING DONE", $B195) &gt; 0</formula>
    </cfRule>
    <cfRule type="expression" dxfId="348" priority="306">
      <formula>SEARCH("NOT BILLED", $B195) &gt; 0</formula>
    </cfRule>
  </conditionalFormatting>
  <conditionalFormatting sqref="G199:G201">
    <cfRule type="expression" priority="129">
      <formula>SEARCH("BILLING DONE", $B199) &gt; 0</formula>
    </cfRule>
    <cfRule type="expression" dxfId="347" priority="130">
      <formula>SEARCH("NOT BILLED", $B199) &gt; 0</formula>
    </cfRule>
  </conditionalFormatting>
  <conditionalFormatting sqref="G279:G280">
    <cfRule type="expression" priority="819">
      <formula>SEARCH("BILLING DONE", $B279) &gt; 0</formula>
    </cfRule>
    <cfRule type="expression" dxfId="346" priority="820">
      <formula>SEARCH("NOT BILLED", $B279) &gt; 0</formula>
    </cfRule>
  </conditionalFormatting>
  <conditionalFormatting sqref="G282:G283">
    <cfRule type="expression" priority="193">
      <formula>SEARCH("BILLING DONE", $B282) &gt; 0</formula>
    </cfRule>
    <cfRule type="expression" dxfId="345" priority="194">
      <formula>SEARCH("NOT BILLED", $B282) &gt; 0</formula>
    </cfRule>
  </conditionalFormatting>
  <conditionalFormatting sqref="G285:G286">
    <cfRule type="expression" priority="753">
      <formula>SEARCH("BILLING DONE", $B285) &gt; 0</formula>
    </cfRule>
    <cfRule type="expression" dxfId="344" priority="754">
      <formula>SEARCH("NOT BILLED", $B285) &gt; 0</formula>
    </cfRule>
  </conditionalFormatting>
  <conditionalFormatting sqref="G288:G290">
    <cfRule type="expression" priority="541">
      <formula>SEARCH("BILLING DONE", $B288) &gt; 0</formula>
    </cfRule>
    <cfRule type="expression" dxfId="343" priority="542">
      <formula>SEARCH("NOT BILLED", $B288) &gt; 0</formula>
    </cfRule>
  </conditionalFormatting>
  <conditionalFormatting sqref="G295:G296">
    <cfRule type="expression" priority="419">
      <formula>SEARCH("BILLING DONE", $B295) &gt; 0</formula>
    </cfRule>
    <cfRule type="expression" dxfId="342" priority="420">
      <formula>SEARCH("NOT BILLED", $B295) &gt; 0</formula>
    </cfRule>
  </conditionalFormatting>
  <conditionalFormatting sqref="G302:G303">
    <cfRule type="expression" priority="127">
      <formula>SEARCH("BILLING DONE", $B302) &gt; 0</formula>
    </cfRule>
    <cfRule type="expression" dxfId="341" priority="128">
      <formula>SEARCH("NOT BILLED", $B302) &gt; 0</formula>
    </cfRule>
  </conditionalFormatting>
  <conditionalFormatting sqref="G309">
    <cfRule type="expression" priority="119">
      <formula>SEARCH("BILLING DONE", $B309) &gt; 0</formula>
    </cfRule>
    <cfRule type="expression" dxfId="340" priority="120">
      <formula>SEARCH("NOT BILLED", $B309) &gt; 0</formula>
    </cfRule>
  </conditionalFormatting>
  <conditionalFormatting sqref="G321">
    <cfRule type="expression" priority="115">
      <formula>SEARCH("BILLING DONE", $B321) &gt; 0</formula>
    </cfRule>
    <cfRule type="expression" dxfId="339" priority="116">
      <formula>SEARCH("NOT BILLED", $B321) &gt; 0</formula>
    </cfRule>
  </conditionalFormatting>
  <conditionalFormatting sqref="G324">
    <cfRule type="expression" priority="111">
      <formula>SEARCH("BILLING DONE", $B324) &gt; 0</formula>
    </cfRule>
    <cfRule type="expression" dxfId="338" priority="112">
      <formula>SEARCH("NOT BILLED", $B324) &gt; 0</formula>
    </cfRule>
  </conditionalFormatting>
  <conditionalFormatting sqref="G327">
    <cfRule type="expression" priority="107">
      <formula>SEARCH("BILLING DONE", $B327) &gt; 0</formula>
    </cfRule>
    <cfRule type="expression" dxfId="337" priority="108">
      <formula>SEARCH("NOT BILLED", $B327) &gt; 0</formula>
    </cfRule>
  </conditionalFormatting>
  <conditionalFormatting sqref="G347">
    <cfRule type="expression" priority="259">
      <formula>SEARCH("BILLING DONE", $B347) &gt; 0</formula>
    </cfRule>
    <cfRule type="expression" dxfId="336" priority="260">
      <formula>SEARCH("NOT BILLED", $B347) &gt; 0</formula>
    </cfRule>
  </conditionalFormatting>
  <conditionalFormatting sqref="G358:G359">
    <cfRule type="expression" priority="189">
      <formula>SEARCH("BILLING DONE", $B358) &gt; 0</formula>
    </cfRule>
    <cfRule type="expression" dxfId="335" priority="190">
      <formula>SEARCH("NOT BILLED", $B358) &gt; 0</formula>
    </cfRule>
  </conditionalFormatting>
  <conditionalFormatting sqref="G363:G364">
    <cfRule type="expression" priority="187">
      <formula>SEARCH("BILLING DONE", $B363) &gt; 0</formula>
    </cfRule>
    <cfRule type="expression" dxfId="334" priority="188">
      <formula>SEARCH("NOT BILLED", $B363) &gt; 0</formula>
    </cfRule>
  </conditionalFormatting>
  <conditionalFormatting sqref="G366:G368 G370:G372 G374:G377">
    <cfRule type="expression" priority="1996">
      <formula>SEARCH("BILLING DONE", $B359) &gt; 0</formula>
    </cfRule>
    <cfRule type="expression" dxfId="333" priority="1997">
      <formula>SEARCH("NOT BILLED", $B359) &gt; 0</formula>
    </cfRule>
  </conditionalFormatting>
  <conditionalFormatting sqref="G366:G368">
    <cfRule type="expression" priority="185">
      <formula>SEARCH("BILLING DONE", $B366) &gt; 0</formula>
    </cfRule>
    <cfRule type="expression" dxfId="332" priority="186">
      <formula>SEARCH("NOT BILLED", $B366) &gt; 0</formula>
    </cfRule>
  </conditionalFormatting>
  <conditionalFormatting sqref="G374 G379:G380">
    <cfRule type="expression" priority="2016">
      <formula>SEARCH("BILLING DONE", $B366) &gt; 0</formula>
    </cfRule>
    <cfRule type="expression" dxfId="331" priority="2017">
      <formula>SEARCH("NOT BILLED", $B366) &gt; 0</formula>
    </cfRule>
  </conditionalFormatting>
  <conditionalFormatting sqref="G375:G377 G379:G380">
    <cfRule type="expression" priority="2096">
      <formula>SEARCH("BILLING DONE", $B366) &gt; 0</formula>
    </cfRule>
    <cfRule type="expression" dxfId="330" priority="2097">
      <formula>SEARCH("NOT BILLED", $B366) &gt; 0</formula>
    </cfRule>
  </conditionalFormatting>
  <conditionalFormatting sqref="G377 G379:G380">
    <cfRule type="expression" priority="2084">
      <formula>SEARCH("BILLING DONE", $B366) &gt; 0</formula>
    </cfRule>
    <cfRule type="expression" dxfId="329" priority="2085">
      <formula>SEARCH("NOT BILLED", $B366) &gt; 0</formula>
    </cfRule>
  </conditionalFormatting>
  <conditionalFormatting sqref="G379:G380">
    <cfRule type="expression" priority="97">
      <formula>SEARCH("BILLING DONE", $B372) &gt; 0</formula>
    </cfRule>
    <cfRule type="expression" dxfId="328" priority="98">
      <formula>SEARCH("NOT BILLED", $B372) &gt; 0</formula>
    </cfRule>
    <cfRule type="expression" priority="2078">
      <formula>SEARCH("BILLING DONE", $B367) &gt; 0</formula>
    </cfRule>
    <cfRule type="expression" dxfId="327" priority="2079">
      <formula>SEARCH("NOT BILLED", $B367) &gt; 0</formula>
    </cfRule>
    <cfRule type="expression" priority="2090">
      <formula>SEARCH("BILLING DONE", $B369) &gt; 0</formula>
    </cfRule>
    <cfRule type="expression" dxfId="326" priority="2091">
      <formula>SEARCH("NOT BILLED", $B369) &gt; 0</formula>
    </cfRule>
  </conditionalFormatting>
  <conditionalFormatting sqref="G380">
    <cfRule type="expression" priority="2072">
      <formula>SEARCH("BILLING DONE", $B367) &gt; 0</formula>
    </cfRule>
    <cfRule type="expression" dxfId="325" priority="2073">
      <formula>SEARCH("NOT BILLED", $B367) &gt; 0</formula>
    </cfRule>
  </conditionalFormatting>
  <conditionalFormatting sqref="G382">
    <cfRule type="expression" priority="83">
      <formula>SEARCH("BILLING DONE", $B364) &gt; 0</formula>
    </cfRule>
    <cfRule type="expression" dxfId="324" priority="84">
      <formula>SEARCH("NOT BILLED", $B364) &gt; 0</formula>
    </cfRule>
  </conditionalFormatting>
  <conditionalFormatting sqref="G382:G383 G385:G386">
    <cfRule type="expression" priority="2060">
      <formula>SEARCH("BILLING DONE", $B367) &gt; 0</formula>
    </cfRule>
    <cfRule type="expression" dxfId="323" priority="2061">
      <formula>SEARCH("NOT BILLED", $B367) &gt; 0</formula>
    </cfRule>
    <cfRule type="expression" priority="2066">
      <formula>SEARCH("BILLING DONE", $B368) &gt; 0</formula>
    </cfRule>
    <cfRule type="expression" dxfId="322" priority="2067">
      <formula>SEARCH("NOT BILLED", $B368) &gt; 0</formula>
    </cfRule>
  </conditionalFormatting>
  <conditionalFormatting sqref="G382:G383 G385:G387">
    <cfRule type="expression" priority="2054">
      <formula>SEARCH("BILLING DONE", $B366) &gt; 0</formula>
    </cfRule>
    <cfRule type="expression" dxfId="321" priority="2055">
      <formula>SEARCH("NOT BILLED", $B366) &gt; 0</formula>
    </cfRule>
  </conditionalFormatting>
  <conditionalFormatting sqref="G382:G383">
    <cfRule type="expression" priority="67">
      <formula>SEARCH("BILLING DONE", $B382) &gt; 0</formula>
    </cfRule>
    <cfRule type="expression" dxfId="320" priority="68">
      <formula>SEARCH("NOT BILLED", $B382) &gt; 0</formula>
    </cfRule>
    <cfRule type="expression" priority="69">
      <formula>SEARCH("BILLING DONE", $B375) &gt; 0</formula>
    </cfRule>
    <cfRule type="expression" dxfId="319" priority="70">
      <formula>SEARCH("NOT BILLED", $B375) &gt; 0</formula>
    </cfRule>
    <cfRule type="expression" priority="71">
      <formula>SEARCH("BILLING DONE", $B374) &gt; 0</formula>
    </cfRule>
    <cfRule type="expression" dxfId="318" priority="72">
      <formula>SEARCH("NOT BILLED", $B374) &gt; 0</formula>
    </cfRule>
    <cfRule type="expression" priority="73">
      <formula>SEARCH("BILLING DONE", $B372) &gt; 0</formula>
    </cfRule>
    <cfRule type="expression" dxfId="317" priority="74">
      <formula>SEARCH("NOT BILLED", $B372) &gt; 0</formula>
    </cfRule>
    <cfRule type="expression" priority="75">
      <formula>SEARCH("BILLING DONE", $B373) &gt; 0</formula>
    </cfRule>
    <cfRule type="expression" dxfId="316" priority="76">
      <formula>SEARCH("NOT BILLED", $B373) &gt; 0</formula>
    </cfRule>
    <cfRule type="expression" priority="77">
      <formula>SEARCH("BILLING DONE", $B369) &gt; 0</formula>
    </cfRule>
    <cfRule type="expression" dxfId="315" priority="78">
      <formula>SEARCH("NOT BILLED", $B369) &gt; 0</formula>
    </cfRule>
    <cfRule type="expression" priority="79">
      <formula>SEARCH("BILLING DONE", $B370) &gt; 0</formula>
    </cfRule>
    <cfRule type="expression" dxfId="314" priority="80">
      <formula>SEARCH("NOT BILLED", $B370) &gt; 0</formula>
    </cfRule>
    <cfRule type="expression" priority="81">
      <formula>SEARCH("BILLING DONE", $B371) &gt; 0</formula>
    </cfRule>
    <cfRule type="expression" dxfId="313" priority="82">
      <formula>SEARCH("NOT BILLED", $B371) &gt; 0</formula>
    </cfRule>
  </conditionalFormatting>
  <conditionalFormatting sqref="G383">
    <cfRule type="expression" priority="85">
      <formula>SEARCH("BILLING DONE", $B364) &gt; 0</formula>
    </cfRule>
    <cfRule type="expression" dxfId="312" priority="86">
      <formula>SEARCH("NOT BILLED", $B364) &gt; 0</formula>
    </cfRule>
    <cfRule type="expression" priority="87">
      <formula>SEARCH("BILLING DONE", $B366) &gt; 0</formula>
    </cfRule>
    <cfRule type="expression" dxfId="311" priority="88">
      <formula>SEARCH("NOT BILLED", $B366) &gt; 0</formula>
    </cfRule>
  </conditionalFormatting>
  <conditionalFormatting sqref="G385 G387 G389">
    <cfRule type="expression" priority="2012">
      <formula>SEARCH("BILLING DONE", $B367) &gt; 0</formula>
    </cfRule>
    <cfRule type="expression" dxfId="310" priority="2013">
      <formula>SEARCH("NOT BILLED", $B367) &gt; 0</formula>
    </cfRule>
  </conditionalFormatting>
  <conditionalFormatting sqref="G385:G386">
    <cfRule type="expression" priority="105">
      <formula>SEARCH("BILLING DONE", $B385) &gt; 0</formula>
    </cfRule>
    <cfRule type="expression" dxfId="309" priority="106">
      <formula>SEARCH("NOT BILLED", $B385) &gt; 0</formula>
    </cfRule>
    <cfRule type="expression" priority="131">
      <formula>SEARCH("BILLING DONE", $B378) &gt; 0</formula>
    </cfRule>
    <cfRule type="expression" dxfId="308" priority="132">
      <formula>SEARCH("NOT BILLED", $B378) &gt; 0</formula>
    </cfRule>
    <cfRule type="expression" priority="133">
      <formula>SEARCH("BILLING DONE", $B377) &gt; 0</formula>
    </cfRule>
    <cfRule type="expression" dxfId="307" priority="134">
      <formula>SEARCH("NOT BILLED", $B377) &gt; 0</formula>
    </cfRule>
    <cfRule type="expression" priority="135">
      <formula>SEARCH("BILLING DONE", $B375) &gt; 0</formula>
    </cfRule>
    <cfRule type="expression" dxfId="306" priority="136">
      <formula>SEARCH("NOT BILLED", $B375) &gt; 0</formula>
    </cfRule>
    <cfRule type="expression" priority="137">
      <formula>SEARCH("BILLING DONE", $B376) &gt; 0</formula>
    </cfRule>
    <cfRule type="expression" dxfId="305" priority="138">
      <formula>SEARCH("NOT BILLED", $B376) &gt; 0</formula>
    </cfRule>
    <cfRule type="expression" priority="139">
      <formula>SEARCH("BILLING DONE", $B372) &gt; 0</formula>
    </cfRule>
    <cfRule type="expression" dxfId="304" priority="140">
      <formula>SEARCH("NOT BILLED", $B372) &gt; 0</formula>
    </cfRule>
    <cfRule type="expression" priority="141">
      <formula>SEARCH("BILLING DONE", $B373) &gt; 0</formula>
    </cfRule>
    <cfRule type="expression" dxfId="303" priority="142">
      <formula>SEARCH("NOT BILLED", $B373) &gt; 0</formula>
    </cfRule>
    <cfRule type="expression" priority="143">
      <formula>SEARCH("BILLING DONE", $B374) &gt; 0</formula>
    </cfRule>
    <cfRule type="expression" dxfId="302" priority="144">
      <formula>SEARCH("NOT BILLED", $B374) &gt; 0</formula>
    </cfRule>
  </conditionalFormatting>
  <conditionalFormatting sqref="G386 G388">
    <cfRule type="expression" priority="2038">
      <formula>SEARCH("BILLING DONE", $B367) &gt; 0</formula>
    </cfRule>
    <cfRule type="expression" dxfId="301" priority="2039">
      <formula>SEARCH("NOT BILLED", $B367) &gt; 0</formula>
    </cfRule>
    <cfRule type="expression" priority="2048">
      <formula>SEARCH("BILLING DONE", $B369) &gt; 0</formula>
    </cfRule>
    <cfRule type="expression" dxfId="300" priority="2049">
      <formula>SEARCH("NOT BILLED", $B369) &gt; 0</formula>
    </cfRule>
  </conditionalFormatting>
  <conditionalFormatting sqref="G387 G389">
    <cfRule type="expression" priority="2024">
      <formula>SEARCH("BILLING DONE", $B367) &gt; 0</formula>
    </cfRule>
    <cfRule type="expression" dxfId="299" priority="2025">
      <formula>SEARCH("NOT BILLED", $B367) &gt; 0</formula>
    </cfRule>
  </conditionalFormatting>
  <conditionalFormatting sqref="G388">
    <cfRule type="expression" priority="2042">
      <formula>SEARCH("BILLING DONE", $B367) &gt; 0</formula>
    </cfRule>
    <cfRule type="expression" dxfId="298" priority="2043">
      <formula>SEARCH("NOT BILLED", $B367) &gt; 0</formula>
    </cfRule>
  </conditionalFormatting>
  <conditionalFormatting sqref="G389">
    <cfRule type="expression" priority="2028">
      <formula>SEARCH("BILLING DONE", $B367) &gt; 0</formula>
    </cfRule>
    <cfRule type="expression" dxfId="297" priority="2029">
      <formula>SEARCH("NOT BILLED", $B367) &gt; 0</formula>
    </cfRule>
  </conditionalFormatting>
  <conditionalFormatting sqref="G431">
    <cfRule type="containsText" dxfId="296" priority="1833" operator="containsText" text="COMPLETED">
      <formula>NOT(ISERROR(SEARCH("COMPLETED",G431)))</formula>
    </cfRule>
    <cfRule type="containsText" dxfId="295" priority="1834" operator="containsText" text="HOLD">
      <formula>NOT(ISERROR(SEARCH("HOLD",G431)))</formula>
    </cfRule>
    <cfRule type="containsText" dxfId="294" priority="1835" operator="containsText" text="NOT YET STARTED">
      <formula>NOT(ISERROR(SEARCH("NOT YET STARTED",G431)))</formula>
    </cfRule>
    <cfRule type="containsText" dxfId="293" priority="1836" operator="containsText" text="IN PROGRESS">
      <formula>NOT(ISERROR(SEARCH("IN PROGRESS",G431)))</formula>
    </cfRule>
  </conditionalFormatting>
  <conditionalFormatting sqref="H144">
    <cfRule type="containsText" dxfId="292" priority="871" operator="containsText" text="COMPLETED">
      <formula>NOT(ISERROR(SEARCH("COMPLETED",H144)))</formula>
    </cfRule>
    <cfRule type="containsText" dxfId="291" priority="872" operator="containsText" text="HOLD">
      <formula>NOT(ISERROR(SEARCH("HOLD",H144)))</formula>
    </cfRule>
    <cfRule type="containsText" dxfId="290" priority="873" operator="containsText" text="NOT YET STARTED">
      <formula>NOT(ISERROR(SEARCH("NOT YET STARTED",H144)))</formula>
    </cfRule>
    <cfRule type="containsText" dxfId="289" priority="874" operator="containsText" text="IN PROGRESS">
      <formula>NOT(ISERROR(SEARCH("IN PROGRESS",H144)))</formula>
    </cfRule>
  </conditionalFormatting>
  <conditionalFormatting sqref="H153:H155">
    <cfRule type="expression" priority="569">
      <formula>SEARCH("BILLING DONE", $B153) &gt; 0</formula>
    </cfRule>
    <cfRule type="expression" dxfId="288" priority="570">
      <formula>SEARCH("NOT BILLED", $B153) &gt; 0</formula>
    </cfRule>
  </conditionalFormatting>
  <conditionalFormatting sqref="H159">
    <cfRule type="expression" priority="571">
      <formula>SEARCH("BILLING DONE", $B159) &gt; 0</formula>
    </cfRule>
    <cfRule type="expression" dxfId="287" priority="572">
      <formula>SEARCH("NOT BILLED", $B159) &gt; 0</formula>
    </cfRule>
  </conditionalFormatting>
  <conditionalFormatting sqref="H176:H178">
    <cfRule type="expression" priority="191">
      <formula>SEARCH("BILLING DONE", $B176) &gt; 0</formula>
    </cfRule>
    <cfRule type="expression" dxfId="286" priority="192">
      <formula>SEARCH("NOT BILLED", $B176) &gt; 0</formula>
    </cfRule>
  </conditionalFormatting>
  <conditionalFormatting sqref="H187">
    <cfRule type="expression" priority="435">
      <formula>SEARCH("BILLING DONE", $B187) &gt; 0</formula>
    </cfRule>
    <cfRule type="expression" dxfId="285" priority="436">
      <formula>SEARCH("NOT BILLED", $B187) &gt; 0</formula>
    </cfRule>
  </conditionalFormatting>
  <conditionalFormatting sqref="H194:H197">
    <cfRule type="expression" priority="303">
      <formula>SEARCH("BILLING DONE", $B194) &gt; 0</formula>
    </cfRule>
    <cfRule type="expression" dxfId="284" priority="304">
      <formula>SEARCH("NOT BILLED", $B194) &gt; 0</formula>
    </cfRule>
  </conditionalFormatting>
  <conditionalFormatting sqref="H295:H299">
    <cfRule type="expression" priority="621">
      <formula>SEARCH("BILLING DONE", $B295) &gt; 0</formula>
    </cfRule>
    <cfRule type="expression" dxfId="283" priority="622">
      <formula>SEARCH("NOT BILLED", $B295) &gt; 0</formula>
    </cfRule>
  </conditionalFormatting>
  <conditionalFormatting sqref="H302:H306">
    <cfRule type="expression" priority="619">
      <formula>SEARCH("BILLING DONE", $B302) &gt; 0</formula>
    </cfRule>
    <cfRule type="expression" dxfId="282" priority="620">
      <formula>SEARCH("NOT BILLED", $B302) &gt; 0</formula>
    </cfRule>
  </conditionalFormatting>
  <conditionalFormatting sqref="H309:H312">
    <cfRule type="expression" priority="617">
      <formula>SEARCH("BILLING DONE", $B309) &gt; 0</formula>
    </cfRule>
    <cfRule type="expression" dxfId="281" priority="618">
      <formula>SEARCH("NOT BILLED", $B309) &gt; 0</formula>
    </cfRule>
  </conditionalFormatting>
  <conditionalFormatting sqref="H315">
    <cfRule type="expression" priority="615">
      <formula>SEARCH("BILLING DONE", $B315) &gt; 0</formula>
    </cfRule>
    <cfRule type="expression" dxfId="280" priority="616">
      <formula>SEARCH("NOT BILLED", $B315) &gt; 0</formula>
    </cfRule>
  </conditionalFormatting>
  <conditionalFormatting sqref="H318">
    <cfRule type="expression" priority="613">
      <formula>SEARCH("BILLING DONE", $B318) &gt; 0</formula>
    </cfRule>
    <cfRule type="expression" dxfId="279" priority="614">
      <formula>SEARCH("NOT BILLED", $B318) &gt; 0</formula>
    </cfRule>
  </conditionalFormatting>
  <conditionalFormatting sqref="H321:H338">
    <cfRule type="expression" priority="611">
      <formula>SEARCH("BILLING DONE", $B321) &gt; 0</formula>
    </cfRule>
    <cfRule type="expression" dxfId="278" priority="612">
      <formula>SEARCH("NOT BILLED", $B321) &gt; 0</formula>
    </cfRule>
  </conditionalFormatting>
  <conditionalFormatting sqref="H339:H346">
    <cfRule type="expression" priority="599">
      <formula>SEARCH("BILLING DONE", $B339) &gt; 0</formula>
    </cfRule>
    <cfRule type="expression" dxfId="272" priority="600">
      <formula>SEARCH("NOT BILLED", $B339) &gt; 0</formula>
    </cfRule>
  </conditionalFormatting>
  <conditionalFormatting sqref="H347">
    <cfRule type="expression" priority="265">
      <formula>SEARCH("BILLING DONE", $B347) &gt; 0</formula>
    </cfRule>
    <cfRule type="expression" dxfId="269" priority="266">
      <formula>SEARCH("NOT BILLED", $B347) &gt; 0</formula>
    </cfRule>
  </conditionalFormatting>
  <conditionalFormatting sqref="H351:H352">
    <cfRule type="expression" priority="413">
      <formula>SEARCH("BILLING DONE", $B351) &gt; 0</formula>
    </cfRule>
    <cfRule type="expression" dxfId="268" priority="414">
      <formula>SEARCH("NOT BILLED", $B351) &gt; 0</formula>
    </cfRule>
  </conditionalFormatting>
  <conditionalFormatting sqref="H355:H356">
    <cfRule type="expression" priority="411">
      <formula>SEARCH("BILLING DONE", $B355) &gt; 0</formula>
    </cfRule>
    <cfRule type="expression" dxfId="267" priority="412">
      <formula>SEARCH("NOT BILLED", $B355) &gt; 0</formula>
    </cfRule>
  </conditionalFormatting>
  <conditionalFormatting sqref="H360:H361">
    <cfRule type="expression" priority="405">
      <formula>SEARCH("BILLING DONE", $B360) &gt; 0</formula>
    </cfRule>
    <cfRule type="expression" dxfId="266" priority="406">
      <formula>SEARCH("NOT BILLED", $B360) &gt; 0</formula>
    </cfRule>
  </conditionalFormatting>
  <conditionalFormatting sqref="H364">
    <cfRule type="expression" priority="197">
      <formula>SEARCH("BILLING DONE", $B364) &gt; 0</formula>
    </cfRule>
    <cfRule type="expression" dxfId="265" priority="198">
      <formula>SEARCH("NOT BILLED", $B364) &gt; 0</formula>
    </cfRule>
  </conditionalFormatting>
  <conditionalFormatting sqref="H367:H368">
    <cfRule type="expression" priority="89">
      <formula>SEARCH("BILLING DONE", $B367) &gt; 0</formula>
    </cfRule>
    <cfRule type="expression" dxfId="264" priority="90">
      <formula>SEARCH("NOT BILLED", $B367) &gt; 0</formula>
    </cfRule>
  </conditionalFormatting>
  <conditionalFormatting sqref="H370:H372">
    <cfRule type="expression" priority="103">
      <formula>SEARCH("BILLING DONE", $B370) &gt; 0</formula>
    </cfRule>
    <cfRule type="expression" dxfId="263" priority="104">
      <formula>SEARCH("NOT BILLED", $B370) &gt; 0</formula>
    </cfRule>
  </conditionalFormatting>
  <conditionalFormatting sqref="H374:H377">
    <cfRule type="expression" priority="99">
      <formula>SEARCH("BILLING DONE", $B374) &gt; 0</formula>
    </cfRule>
    <cfRule type="expression" dxfId="262" priority="100">
      <formula>SEARCH("NOT BILLED", $B374) &gt; 0</formula>
    </cfRule>
  </conditionalFormatting>
  <conditionalFormatting sqref="H379:H380">
    <cfRule type="expression" priority="93">
      <formula>SEARCH("BILLING DONE", $B379) &gt; 0</formula>
    </cfRule>
    <cfRule type="expression" dxfId="261" priority="94">
      <formula>SEARCH("NOT BILLED", $B379) &gt; 0</formula>
    </cfRule>
  </conditionalFormatting>
  <conditionalFormatting sqref="H382:H383">
    <cfRule type="expression" priority="65">
      <formula>SEARCH("BILLING DONE", $B382) &gt; 0</formula>
    </cfRule>
    <cfRule type="expression" dxfId="260" priority="66">
      <formula>SEARCH("NOT BILLED", $B382) &gt; 0</formula>
    </cfRule>
  </conditionalFormatting>
  <conditionalFormatting sqref="H348:I348">
    <cfRule type="expression" priority="547">
      <formula>SEARCH("BILLING DONE", $B348) &gt; 0</formula>
    </cfRule>
    <cfRule type="expression" dxfId="259" priority="548">
      <formula>SEARCH("NOT BILLED", $B348) &gt; 0</formula>
    </cfRule>
  </conditionalFormatting>
  <conditionalFormatting sqref="I296">
    <cfRule type="expression" priority="211">
      <formula>SEARCH("BILLING DONE", $B296) &gt; 0</formula>
    </cfRule>
    <cfRule type="expression" dxfId="258" priority="212">
      <formula>SEARCH("NOT BILLED", $B296) &gt; 0</formula>
    </cfRule>
  </conditionalFormatting>
  <conditionalFormatting sqref="I194:O196 Q196">
    <cfRule type="expression" priority="301">
      <formula>SEARCH("BILLING DONE", $B194) &gt; 0</formula>
    </cfRule>
    <cfRule type="expression" dxfId="257" priority="302">
      <formula>SEARCH("NOT BILLED", $B194) &gt; 0</formula>
    </cfRule>
  </conditionalFormatting>
  <conditionalFormatting sqref="P76:P78">
    <cfRule type="containsText" dxfId="256" priority="767" operator="containsText" text="COMPLETED">
      <formula>NOT(ISERROR(SEARCH("COMPLETED",P76)))</formula>
    </cfRule>
    <cfRule type="containsText" dxfId="255" priority="768" operator="containsText" text="HOLD">
      <formula>NOT(ISERROR(SEARCH("HOLD",P76)))</formula>
    </cfRule>
    <cfRule type="containsText" dxfId="254" priority="769" operator="containsText" text="NOT YET STARTED">
      <formula>NOT(ISERROR(SEARCH("NOT YET STARTED",P76)))</formula>
    </cfRule>
    <cfRule type="containsText" dxfId="253" priority="770" operator="containsText" text="IN PROGRESS">
      <formula>NOT(ISERROR(SEARCH("IN PROGRESS",P76)))</formula>
    </cfRule>
    <cfRule type="expression" priority="771">
      <formula>SEARCH("BILLING DONE", $B75) &gt; 0</formula>
    </cfRule>
    <cfRule type="expression" dxfId="252" priority="772">
      <formula>SEARCH("NOT BILLED", $B75) &gt; 0</formula>
    </cfRule>
  </conditionalFormatting>
  <conditionalFormatting sqref="P117 S117">
    <cfRule type="containsText" dxfId="251" priority="761" operator="containsText" text="COMPLETED">
      <formula>NOT(ISERROR(SEARCH("COMPLETED",P117)))</formula>
    </cfRule>
    <cfRule type="containsText" dxfId="250" priority="762" operator="containsText" text="HOLD">
      <formula>NOT(ISERROR(SEARCH("HOLD",P117)))</formula>
    </cfRule>
    <cfRule type="containsText" dxfId="249" priority="763" operator="containsText" text="NOT YET STARTED">
      <formula>NOT(ISERROR(SEARCH("NOT YET STARTED",P117)))</formula>
    </cfRule>
    <cfRule type="containsText" dxfId="248" priority="764" operator="containsText" text="IN PROGRESS">
      <formula>NOT(ISERROR(SEARCH("IN PROGRESS",P117)))</formula>
    </cfRule>
    <cfRule type="expression" priority="765">
      <formula>SEARCH("BILLING DONE", $B117) &gt; 0</formula>
    </cfRule>
    <cfRule type="expression" dxfId="247" priority="766">
      <formula>SEARCH("NOT BILLED", $B117) &gt; 0</formula>
    </cfRule>
  </conditionalFormatting>
  <conditionalFormatting sqref="P129:P131">
    <cfRule type="containsText" dxfId="246" priority="467" operator="containsText" text="COMPLETED">
      <formula>NOT(ISERROR(SEARCH("COMPLETED",P129)))</formula>
    </cfRule>
    <cfRule type="containsText" dxfId="245" priority="468" operator="containsText" text="HOLD">
      <formula>NOT(ISERROR(SEARCH("HOLD",P129)))</formula>
    </cfRule>
    <cfRule type="containsText" dxfId="244" priority="469" operator="containsText" text="NOT YET STARTED">
      <formula>NOT(ISERROR(SEARCH("NOT YET STARTED",P129)))</formula>
    </cfRule>
    <cfRule type="containsText" dxfId="243" priority="470" operator="containsText" text="IN PROGRESS">
      <formula>NOT(ISERROR(SEARCH("IN PROGRESS",P129)))</formula>
    </cfRule>
  </conditionalFormatting>
  <conditionalFormatting sqref="P133">
    <cfRule type="containsText" dxfId="242" priority="203" operator="containsText" text="COMPLETED">
      <formula>NOT(ISERROR(SEARCH("COMPLETED",P133)))</formula>
    </cfRule>
    <cfRule type="containsText" dxfId="241" priority="204" operator="containsText" text="HOLD">
      <formula>NOT(ISERROR(SEARCH("HOLD",P133)))</formula>
    </cfRule>
    <cfRule type="containsText" dxfId="240" priority="205" operator="containsText" text="NOT YET STARTED">
      <formula>NOT(ISERROR(SEARCH("NOT YET STARTED",P133)))</formula>
    </cfRule>
    <cfRule type="containsText" dxfId="239" priority="206" operator="containsText" text="IN PROGRESS">
      <formula>NOT(ISERROR(SEARCH("IN PROGRESS",P133)))</formula>
    </cfRule>
  </conditionalFormatting>
  <conditionalFormatting sqref="P150">
    <cfRule type="expression" priority="387">
      <formula>SEARCH("BILLING DONE", $B150) &gt; 0</formula>
    </cfRule>
    <cfRule type="expression" dxfId="238" priority="388">
      <formula>SEARCH("NOT BILLED", $B150) &gt; 0</formula>
    </cfRule>
  </conditionalFormatting>
  <conditionalFormatting sqref="P154:P155">
    <cfRule type="expression" priority="181">
      <formula>SEARCH("BILLING DONE", $B154) &gt; 0</formula>
    </cfRule>
    <cfRule type="expression" dxfId="237" priority="182">
      <formula>SEARCH("NOT BILLED", $B154) &gt; 0</formula>
    </cfRule>
  </conditionalFormatting>
  <conditionalFormatting sqref="P194:P196">
    <cfRule type="expression" priority="295">
      <formula>SEARCH("BILLING DONE", $B194) &gt; 0</formula>
    </cfRule>
    <cfRule type="expression" dxfId="236" priority="296">
      <formula>SEARCH("NOT BILLED", $B194) &gt; 0</formula>
    </cfRule>
  </conditionalFormatting>
  <conditionalFormatting sqref="P279:P280">
    <cfRule type="containsText" dxfId="235" priority="757" operator="containsText" text="COMPLETED">
      <formula>NOT(ISERROR(SEARCH("COMPLETED",P279)))</formula>
    </cfRule>
    <cfRule type="containsText" dxfId="234" priority="758" operator="containsText" text="HOLD">
      <formula>NOT(ISERROR(SEARCH("HOLD",P279)))</formula>
    </cfRule>
    <cfRule type="containsText" dxfId="233" priority="759" operator="containsText" text="NOT YET STARTED">
      <formula>NOT(ISERROR(SEARCH("NOT YET STARTED",P279)))</formula>
    </cfRule>
    <cfRule type="containsText" dxfId="232" priority="760" operator="containsText" text="IN PROGRESS">
      <formula>NOT(ISERROR(SEARCH("IN PROGRESS",P279)))</formula>
    </cfRule>
  </conditionalFormatting>
  <conditionalFormatting sqref="P283">
    <cfRule type="containsText" dxfId="231" priority="61" operator="containsText" text="COMPLETED">
      <formula>NOT(ISERROR(SEARCH("COMPLETED",P283)))</formula>
    </cfRule>
    <cfRule type="containsText" dxfId="230" priority="62" operator="containsText" text="HOLD">
      <formula>NOT(ISERROR(SEARCH("HOLD",P283)))</formula>
    </cfRule>
    <cfRule type="containsText" dxfId="229" priority="63" operator="containsText" text="NOT YET STARTED">
      <formula>NOT(ISERROR(SEARCH("NOT YET STARTED",P283)))</formula>
    </cfRule>
    <cfRule type="containsText" dxfId="228" priority="64" operator="containsText" text="IN PROGRESS">
      <formula>NOT(ISERROR(SEARCH("IN PROGRESS",P283)))</formula>
    </cfRule>
  </conditionalFormatting>
  <conditionalFormatting sqref="P285">
    <cfRule type="containsText" dxfId="227" priority="747" operator="containsText" text="COMPLETED">
      <formula>NOT(ISERROR(SEARCH("COMPLETED",P285)))</formula>
    </cfRule>
    <cfRule type="containsText" dxfId="226" priority="748" operator="containsText" text="HOLD">
      <formula>NOT(ISERROR(SEARCH("HOLD",P285)))</formula>
    </cfRule>
    <cfRule type="containsText" dxfId="225" priority="749" operator="containsText" text="NOT YET STARTED">
      <formula>NOT(ISERROR(SEARCH("NOT YET STARTED",P285)))</formula>
    </cfRule>
    <cfRule type="containsText" dxfId="224" priority="750" operator="containsText" text="IN PROGRESS">
      <formula>NOT(ISERROR(SEARCH("IN PROGRESS",P285)))</formula>
    </cfRule>
  </conditionalFormatting>
  <conditionalFormatting sqref="P288:P289">
    <cfRule type="containsText" dxfId="223" priority="507" operator="containsText" text="COMPLETED">
      <formula>NOT(ISERROR(SEARCH("COMPLETED",P288)))</formula>
    </cfRule>
    <cfRule type="containsText" dxfId="222" priority="508" operator="containsText" text="HOLD">
      <formula>NOT(ISERROR(SEARCH("HOLD",P288)))</formula>
    </cfRule>
    <cfRule type="containsText" dxfId="221" priority="509" operator="containsText" text="NOT YET STARTED">
      <formula>NOT(ISERROR(SEARCH("NOT YET STARTED",P288)))</formula>
    </cfRule>
    <cfRule type="containsText" dxfId="220" priority="510" operator="containsText" text="IN PROGRESS">
      <formula>NOT(ISERROR(SEARCH("IN PROGRESS",P288)))</formula>
    </cfRule>
    <cfRule type="expression" priority="511">
      <formula>SEARCH("BILLING DONE", $B288) &gt; 0</formula>
    </cfRule>
    <cfRule type="expression" dxfId="219" priority="512">
      <formula>SEARCH("NOT BILLED", $B288) &gt; 0</formula>
    </cfRule>
  </conditionalFormatting>
  <conditionalFormatting sqref="P347">
    <cfRule type="expression" priority="243">
      <formula>SEARCH("BILLING DONE", $B347) &gt; 0</formula>
    </cfRule>
    <cfRule type="expression" dxfId="218" priority="244">
      <formula>SEARCH("NOT BILLED", $B347) &gt; 0</formula>
    </cfRule>
  </conditionalFormatting>
  <conditionalFormatting sqref="P366">
    <cfRule type="expression" priority="275">
      <formula>SEARCH("BILLING DONE", $B366) &gt; 0</formula>
    </cfRule>
    <cfRule type="expression" dxfId="217" priority="276">
      <formula>SEARCH("NOT BILLED", $B366) &gt; 0</formula>
    </cfRule>
  </conditionalFormatting>
  <conditionalFormatting sqref="P130:Q131">
    <cfRule type="expression" priority="465">
      <formula>SEARCH("BILLING DONE", $B130) &gt; 0</formula>
    </cfRule>
    <cfRule type="expression" dxfId="216" priority="466">
      <formula>SEARCH("NOT BILLED", $B130) &gt; 0</formula>
    </cfRule>
  </conditionalFormatting>
  <conditionalFormatting sqref="P133:Q133">
    <cfRule type="expression" priority="201">
      <formula>SEARCH("BILLING DONE", $B133) &gt; 0</formula>
    </cfRule>
    <cfRule type="expression" dxfId="215" priority="202">
      <formula>SEARCH("NOT BILLED", $B133) &gt; 0</formula>
    </cfRule>
  </conditionalFormatting>
  <conditionalFormatting sqref="P364:R364">
    <cfRule type="expression" priority="231">
      <formula>SEARCH("BILLING DONE", $B364) &gt; 0</formula>
    </cfRule>
    <cfRule type="expression" dxfId="214" priority="232">
      <formula>SEARCH("NOT BILLED", $B364) &gt; 0</formula>
    </cfRule>
  </conditionalFormatting>
  <conditionalFormatting sqref="Q17">
    <cfRule type="containsText" dxfId="213" priority="441" operator="containsText" text="COMPLETED">
      <formula>NOT(ISERROR(SEARCH("COMPLETED",Q17)))</formula>
    </cfRule>
    <cfRule type="containsText" dxfId="212" priority="442" operator="containsText" text="HOLD">
      <formula>NOT(ISERROR(SEARCH("HOLD",Q17)))</formula>
    </cfRule>
    <cfRule type="containsText" dxfId="211" priority="443" operator="containsText" text="NOT YET STARTED">
      <formula>NOT(ISERROR(SEARCH("NOT YET STARTED",Q17)))</formula>
    </cfRule>
    <cfRule type="containsText" dxfId="210" priority="444" operator="containsText" text="IN PROGRESS">
      <formula>NOT(ISERROR(SEARCH("IN PROGRESS",Q17)))</formula>
    </cfRule>
  </conditionalFormatting>
  <conditionalFormatting sqref="Q75:Q78">
    <cfRule type="containsText" dxfId="209" priority="781" operator="containsText" text="COMPLETED">
      <formula>NOT(ISERROR(SEARCH("COMPLETED",Q75)))</formula>
    </cfRule>
    <cfRule type="containsText" dxfId="208" priority="782" operator="containsText" text="HOLD">
      <formula>NOT(ISERROR(SEARCH("HOLD",Q75)))</formula>
    </cfRule>
    <cfRule type="containsText" dxfId="207" priority="783" operator="containsText" text="NOT YET STARTED">
      <formula>NOT(ISERROR(SEARCH("NOT YET STARTED",Q75)))</formula>
    </cfRule>
    <cfRule type="containsText" dxfId="206" priority="784" operator="containsText" text="IN PROGRESS">
      <formula>NOT(ISERROR(SEARCH("IN PROGRESS",Q75)))</formula>
    </cfRule>
  </conditionalFormatting>
  <conditionalFormatting sqref="Q142:Q143">
    <cfRule type="expression" priority="665">
      <formula>SEARCH("BILLING DONE", $B142) &gt; 0</formula>
    </cfRule>
    <cfRule type="expression" dxfId="205" priority="666">
      <formula>SEARCH("NOT BILLED", $B142) &gt; 0</formula>
    </cfRule>
    <cfRule type="containsText" dxfId="204" priority="667" operator="containsText" text="COMPLETED">
      <formula>NOT(ISERROR(SEARCH("COMPLETED",Q142)))</formula>
    </cfRule>
    <cfRule type="containsText" dxfId="203" priority="668" operator="containsText" text="HOLD">
      <formula>NOT(ISERROR(SEARCH("HOLD",Q142)))</formula>
    </cfRule>
    <cfRule type="containsText" dxfId="202" priority="669" operator="containsText" text="NOT YET STARTED">
      <formula>NOT(ISERROR(SEARCH("NOT YET STARTED",Q142)))</formula>
    </cfRule>
    <cfRule type="containsText" dxfId="201" priority="670" operator="containsText" text="IN PROGRESS">
      <formula>NOT(ISERROR(SEARCH("IN PROGRESS",Q142)))</formula>
    </cfRule>
    <cfRule type="containsText" dxfId="200" priority="677" operator="containsText" text="COMPLETED">
      <formula>NOT(ISERROR(SEARCH("COMPLETED",Q142)))</formula>
    </cfRule>
    <cfRule type="containsText" dxfId="199" priority="678" operator="containsText" text="HOLD">
      <formula>NOT(ISERROR(SEARCH("HOLD",Q142)))</formula>
    </cfRule>
    <cfRule type="containsText" dxfId="198" priority="679" operator="containsText" text="NOT YET STARTED">
      <formula>NOT(ISERROR(SEARCH("NOT YET STARTED",Q142)))</formula>
    </cfRule>
    <cfRule type="containsText" dxfId="197" priority="680" operator="containsText" text="IN PROGRESS">
      <formula>NOT(ISERROR(SEARCH("IN PROGRESS",Q142)))</formula>
    </cfRule>
  </conditionalFormatting>
  <conditionalFormatting sqref="Q148">
    <cfRule type="containsText" dxfId="196" priority="661" operator="containsText" text="COMPLETED">
      <formula>NOT(ISERROR(SEARCH("COMPLETED",Q148)))</formula>
    </cfRule>
    <cfRule type="containsText" dxfId="195" priority="662" operator="containsText" text="HOLD">
      <formula>NOT(ISERROR(SEARCH("HOLD",Q148)))</formula>
    </cfRule>
    <cfRule type="containsText" dxfId="194" priority="663" operator="containsText" text="NOT YET STARTED">
      <formula>NOT(ISERROR(SEARCH("NOT YET STARTED",Q148)))</formula>
    </cfRule>
    <cfRule type="containsText" dxfId="193" priority="664" operator="containsText" text="IN PROGRESS">
      <formula>NOT(ISERROR(SEARCH("IN PROGRESS",Q148)))</formula>
    </cfRule>
  </conditionalFormatting>
  <conditionalFormatting sqref="Q148:Q149">
    <cfRule type="containsText" dxfId="192" priority="399" operator="containsText" text="COMPLETED">
      <formula>NOT(ISERROR(SEARCH("COMPLETED",Q148)))</formula>
    </cfRule>
    <cfRule type="containsText" dxfId="191" priority="400" operator="containsText" text="HOLD">
      <formula>NOT(ISERROR(SEARCH("HOLD",Q148)))</formula>
    </cfRule>
    <cfRule type="containsText" dxfId="190" priority="401" operator="containsText" text="NOT YET STARTED">
      <formula>NOT(ISERROR(SEARCH("NOT YET STARTED",Q148)))</formula>
    </cfRule>
    <cfRule type="containsText" dxfId="189" priority="402" operator="containsText" text="IN PROGRESS">
      <formula>NOT(ISERROR(SEARCH("IN PROGRESS",Q148)))</formula>
    </cfRule>
  </conditionalFormatting>
  <conditionalFormatting sqref="Q148:Q150">
    <cfRule type="expression" priority="377">
      <formula>SEARCH("BILLING DONE", $B147) &gt; 0</formula>
    </cfRule>
    <cfRule type="expression" dxfId="188" priority="378">
      <formula>SEARCH("NOT BILLED", $B147) &gt; 0</formula>
    </cfRule>
  </conditionalFormatting>
  <conditionalFormatting sqref="Q149:Q150">
    <cfRule type="containsText" dxfId="187" priority="383" operator="containsText" text="COMPLETED">
      <formula>NOT(ISERROR(SEARCH("COMPLETED",Q149)))</formula>
    </cfRule>
    <cfRule type="containsText" dxfId="186" priority="384" operator="containsText" text="HOLD">
      <formula>NOT(ISERROR(SEARCH("HOLD",Q149)))</formula>
    </cfRule>
    <cfRule type="containsText" dxfId="185" priority="385" operator="containsText" text="NOT YET STARTED">
      <formula>NOT(ISERROR(SEARCH("NOT YET STARTED",Q149)))</formula>
    </cfRule>
    <cfRule type="containsText" dxfId="184" priority="386" operator="containsText" text="IN PROGRESS">
      <formula>NOT(ISERROR(SEARCH("IN PROGRESS",Q149)))</formula>
    </cfRule>
  </conditionalFormatting>
  <conditionalFormatting sqref="Q150">
    <cfRule type="containsText" dxfId="183" priority="379" operator="containsText" text="COMPLETED">
      <formula>NOT(ISERROR(SEARCH("COMPLETED",Q150)))</formula>
    </cfRule>
    <cfRule type="containsText" dxfId="182" priority="380" operator="containsText" text="HOLD">
      <formula>NOT(ISERROR(SEARCH("HOLD",Q150)))</formula>
    </cfRule>
    <cfRule type="containsText" dxfId="181" priority="381" operator="containsText" text="NOT YET STARTED">
      <formula>NOT(ISERROR(SEARCH("NOT YET STARTED",Q150)))</formula>
    </cfRule>
    <cfRule type="containsText" dxfId="180" priority="382" operator="containsText" text="IN PROGRESS">
      <formula>NOT(ISERROR(SEARCH("IN PROGRESS",Q150)))</formula>
    </cfRule>
  </conditionalFormatting>
  <conditionalFormatting sqref="Q153">
    <cfRule type="containsText" dxfId="179" priority="561" operator="containsText" text="COMPLETED">
      <formula>NOT(ISERROR(SEARCH("COMPLETED",Q153)))</formula>
    </cfRule>
    <cfRule type="containsText" dxfId="178" priority="562" operator="containsText" text="HOLD">
      <formula>NOT(ISERROR(SEARCH("HOLD",Q153)))</formula>
    </cfRule>
    <cfRule type="containsText" dxfId="177" priority="563" operator="containsText" text="NOT YET STARTED">
      <formula>NOT(ISERROR(SEARCH("NOT YET STARTED",Q153)))</formula>
    </cfRule>
    <cfRule type="containsText" dxfId="176" priority="564" operator="containsText" text="IN PROGRESS">
      <formula>NOT(ISERROR(SEARCH("IN PROGRESS",Q153)))</formula>
    </cfRule>
  </conditionalFormatting>
  <conditionalFormatting sqref="Q153:Q155">
    <cfRule type="expression" priority="171">
      <formula>SEARCH("BILLING DONE", $B152) &gt; 0</formula>
    </cfRule>
    <cfRule type="expression" dxfId="175" priority="172">
      <formula>SEARCH("NOT BILLED", $B152) &gt; 0</formula>
    </cfRule>
    <cfRule type="containsText" dxfId="174" priority="177" operator="containsText" text="COMPLETED">
      <formula>NOT(ISERROR(SEARCH("COMPLETED",Q153)))</formula>
    </cfRule>
    <cfRule type="containsText" dxfId="173" priority="178" operator="containsText" text="HOLD">
      <formula>NOT(ISERROR(SEARCH("HOLD",Q153)))</formula>
    </cfRule>
    <cfRule type="containsText" dxfId="172" priority="179" operator="containsText" text="NOT YET STARTED">
      <formula>NOT(ISERROR(SEARCH("NOT YET STARTED",Q153)))</formula>
    </cfRule>
    <cfRule type="containsText" dxfId="171" priority="180" operator="containsText" text="IN PROGRESS">
      <formula>NOT(ISERROR(SEARCH("IN PROGRESS",Q153)))</formula>
    </cfRule>
  </conditionalFormatting>
  <conditionalFormatting sqref="Q154">
    <cfRule type="containsText" dxfId="170" priority="173" operator="containsText" text="COMPLETED">
      <formula>NOT(ISERROR(SEARCH("COMPLETED",Q154)))</formula>
    </cfRule>
    <cfRule type="containsText" dxfId="169" priority="174" operator="containsText" text="HOLD">
      <formula>NOT(ISERROR(SEARCH("HOLD",Q154)))</formula>
    </cfRule>
    <cfRule type="containsText" dxfId="168" priority="175" operator="containsText" text="NOT YET STARTED">
      <formula>NOT(ISERROR(SEARCH("NOT YET STARTED",Q154)))</formula>
    </cfRule>
    <cfRule type="containsText" dxfId="167" priority="176" operator="containsText" text="IN PROGRESS">
      <formula>NOT(ISERROR(SEARCH("IN PROGRESS",Q154)))</formula>
    </cfRule>
  </conditionalFormatting>
  <conditionalFormatting sqref="Q155">
    <cfRule type="containsText" dxfId="166" priority="219" operator="containsText" text="COMPLETED">
      <formula>NOT(ISERROR(SEARCH("COMPLETED",Q155)))</formula>
    </cfRule>
    <cfRule type="containsText" dxfId="165" priority="220" operator="containsText" text="HOLD">
      <formula>NOT(ISERROR(SEARCH("HOLD",Q155)))</formula>
    </cfRule>
    <cfRule type="containsText" dxfId="164" priority="221" operator="containsText" text="NOT YET STARTED">
      <formula>NOT(ISERROR(SEARCH("NOT YET STARTED",Q155)))</formula>
    </cfRule>
    <cfRule type="containsText" dxfId="163" priority="222" operator="containsText" text="IN PROGRESS">
      <formula>NOT(ISERROR(SEARCH("IN PROGRESS",Q155)))</formula>
    </cfRule>
  </conditionalFormatting>
  <conditionalFormatting sqref="Q171">
    <cfRule type="containsText" dxfId="162" priority="729" operator="containsText" text="COMPLETED">
      <formula>NOT(ISERROR(SEARCH("COMPLETED",Q171)))</formula>
    </cfRule>
    <cfRule type="containsText" dxfId="161" priority="730" operator="containsText" text="HOLD">
      <formula>NOT(ISERROR(SEARCH("HOLD",Q171)))</formula>
    </cfRule>
    <cfRule type="containsText" dxfId="160" priority="731" operator="containsText" text="NOT YET STARTED">
      <formula>NOT(ISERROR(SEARCH("NOT YET STARTED",Q171)))</formula>
    </cfRule>
    <cfRule type="containsText" dxfId="159" priority="732" operator="containsText" text="IN PROGRESS">
      <formula>NOT(ISERROR(SEARCH("IN PROGRESS",Q171)))</formula>
    </cfRule>
  </conditionalFormatting>
  <conditionalFormatting sqref="Q178">
    <cfRule type="containsText" dxfId="158" priority="239" operator="containsText" text="COMPLETED">
      <formula>NOT(ISERROR(SEARCH("COMPLETED",Q178)))</formula>
    </cfRule>
    <cfRule type="containsText" dxfId="157" priority="240" operator="containsText" text="HOLD">
      <formula>NOT(ISERROR(SEARCH("HOLD",Q178)))</formula>
    </cfRule>
    <cfRule type="containsText" dxfId="156" priority="241" operator="containsText" text="NOT YET STARTED">
      <formula>NOT(ISERROR(SEARCH("NOT YET STARTED",Q178)))</formula>
    </cfRule>
    <cfRule type="containsText" dxfId="155" priority="242" operator="containsText" text="IN PROGRESS">
      <formula>NOT(ISERROR(SEARCH("IN PROGRESS",Q178)))</formula>
    </cfRule>
  </conditionalFormatting>
  <conditionalFormatting sqref="Q187">
    <cfRule type="containsText" dxfId="154" priority="445" operator="containsText" text="COMPLETED">
      <formula>NOT(ISERROR(SEARCH("COMPLETED",Q187)))</formula>
    </cfRule>
    <cfRule type="containsText" dxfId="153" priority="446" operator="containsText" text="HOLD">
      <formula>NOT(ISERROR(SEARCH("HOLD",Q187)))</formula>
    </cfRule>
    <cfRule type="containsText" dxfId="152" priority="447" operator="containsText" text="NOT YET STARTED">
      <formula>NOT(ISERROR(SEARCH("NOT YET STARTED",Q187)))</formula>
    </cfRule>
    <cfRule type="containsText" dxfId="151" priority="448" operator="containsText" text="IN PROGRESS">
      <formula>NOT(ISERROR(SEARCH("IN PROGRESS",Q187)))</formula>
    </cfRule>
  </conditionalFormatting>
  <conditionalFormatting sqref="Q191:Q192">
    <cfRule type="containsText" dxfId="150" priority="43" operator="containsText" text="COMPLETED">
      <formula>NOT(ISERROR(SEARCH("COMPLETED",Q191)))</formula>
    </cfRule>
    <cfRule type="containsText" dxfId="149" priority="44" operator="containsText" text="HOLD">
      <formula>NOT(ISERROR(SEARCH("HOLD",Q191)))</formula>
    </cfRule>
    <cfRule type="containsText" dxfId="148" priority="45" operator="containsText" text="NOT YET STARTED">
      <formula>NOT(ISERROR(SEARCH("NOT YET STARTED",Q191)))</formula>
    </cfRule>
    <cfRule type="containsText" dxfId="147" priority="46" operator="containsText" text="IN PROGRESS">
      <formula>NOT(ISERROR(SEARCH("IN PROGRESS",Q191)))</formula>
    </cfRule>
    <cfRule type="expression" priority="47">
      <formula>SEARCH("BILLING DONE", $B191) &gt; 0</formula>
    </cfRule>
    <cfRule type="expression" dxfId="146" priority="48">
      <formula>SEARCH("NOT BILLED", $B191) &gt; 0</formula>
    </cfRule>
  </conditionalFormatting>
  <conditionalFormatting sqref="Q194:Q196">
    <cfRule type="containsText" dxfId="145" priority="297" operator="containsText" text="COMPLETED">
      <formula>NOT(ISERROR(SEARCH("COMPLETED",Q194)))</formula>
    </cfRule>
    <cfRule type="containsText" dxfId="144" priority="298" operator="containsText" text="HOLD">
      <formula>NOT(ISERROR(SEARCH("HOLD",Q194)))</formula>
    </cfRule>
    <cfRule type="containsText" dxfId="143" priority="299" operator="containsText" text="NOT YET STARTED">
      <formula>NOT(ISERROR(SEARCH("NOT YET STARTED",Q194)))</formula>
    </cfRule>
    <cfRule type="containsText" dxfId="142" priority="300" operator="containsText" text="IN PROGRESS">
      <formula>NOT(ISERROR(SEARCH("IN PROGRESS",Q194)))</formula>
    </cfRule>
  </conditionalFormatting>
  <conditionalFormatting sqref="Q279:Q280">
    <cfRule type="expression" priority="755">
      <formula>SEARCH("BILLING DONE", $B279) &gt; 0</formula>
    </cfRule>
    <cfRule type="expression" dxfId="141" priority="756">
      <formula>SEARCH("NOT BILLED", $B279) &gt; 0</formula>
    </cfRule>
  </conditionalFormatting>
  <conditionalFormatting sqref="Q285">
    <cfRule type="expression" priority="751">
      <formula>SEARCH("BILLING DONE", $B285) &gt; 0</formula>
    </cfRule>
    <cfRule type="expression" dxfId="140" priority="752">
      <formula>SEARCH("NOT BILLED", $B285) &gt; 0</formula>
    </cfRule>
  </conditionalFormatting>
  <conditionalFormatting sqref="Q288:Q289">
    <cfRule type="expression" priority="517">
      <formula>SEARCH("BILLING DONE", $B288) &gt; 0</formula>
    </cfRule>
    <cfRule type="expression" dxfId="139" priority="518">
      <formula>SEARCH("NOT BILLED", $B288) &gt; 0</formula>
    </cfRule>
  </conditionalFormatting>
  <conditionalFormatting sqref="Q296">
    <cfRule type="containsText" dxfId="138" priority="235" operator="containsText" text="COMPLETED">
      <formula>NOT(ISERROR(SEARCH("COMPLETED",Q296)))</formula>
    </cfRule>
    <cfRule type="containsText" dxfId="137" priority="236" operator="containsText" text="HOLD">
      <formula>NOT(ISERROR(SEARCH("HOLD",Q296)))</formula>
    </cfRule>
    <cfRule type="containsText" dxfId="136" priority="237" operator="containsText" text="NOT YET STARTED">
      <formula>NOT(ISERROR(SEARCH("NOT YET STARTED",Q296)))</formula>
    </cfRule>
    <cfRule type="containsText" dxfId="135" priority="238" operator="containsText" text="IN PROGRESS">
      <formula>NOT(ISERROR(SEARCH("IN PROGRESS",Q296)))</formula>
    </cfRule>
  </conditionalFormatting>
  <conditionalFormatting sqref="Q347">
    <cfRule type="expression" priority="251">
      <formula>SEARCH("BILLING DONE", $B347) &gt; 0</formula>
    </cfRule>
    <cfRule type="expression" dxfId="134" priority="252">
      <formula>SEARCH("NOT BILLED", $B347) &gt; 0</formula>
    </cfRule>
  </conditionalFormatting>
  <conditionalFormatting sqref="Q364">
    <cfRule type="containsText" dxfId="133" priority="227" operator="containsText" text="COMPLETED">
      <formula>NOT(ISERROR(SEARCH("COMPLETED",Q364)))</formula>
    </cfRule>
    <cfRule type="containsText" dxfId="132" priority="228" operator="containsText" text="HOLD">
      <formula>NOT(ISERROR(SEARCH("HOLD",Q364)))</formula>
    </cfRule>
    <cfRule type="containsText" dxfId="131" priority="229" operator="containsText" text="NOT YET STARTED">
      <formula>NOT(ISERROR(SEARCH("NOT YET STARTED",Q364)))</formula>
    </cfRule>
    <cfRule type="containsText" dxfId="130" priority="230" operator="containsText" text="IN PROGRESS">
      <formula>NOT(ISERROR(SEARCH("IN PROGRESS",Q364)))</formula>
    </cfRule>
  </conditionalFormatting>
  <conditionalFormatting sqref="Q366">
    <cfRule type="expression" priority="283">
      <formula>SEARCH("BILLING DONE", $B366) &gt; 0</formula>
    </cfRule>
    <cfRule type="expression" dxfId="129" priority="284">
      <formula>SEARCH("NOT BILLED", $B366) &gt; 0</formula>
    </cfRule>
  </conditionalFormatting>
  <conditionalFormatting sqref="Q194:S194 E195:F195 Q195:R195 U194:U195">
    <cfRule type="expression" priority="331">
      <formula>SEARCH("BILLING DONE", $B194) &gt; 0</formula>
    </cfRule>
    <cfRule type="expression" dxfId="128" priority="332">
      <formula>SEARCH("NOT BILLED", $B194) &gt; 0</formula>
    </cfRule>
  </conditionalFormatting>
  <conditionalFormatting sqref="R180">
    <cfRule type="containsText" dxfId="127" priority="725" operator="containsText" text="COMPLETED">
      <formula>NOT(ISERROR(SEARCH("COMPLETED",R180)))</formula>
    </cfRule>
    <cfRule type="containsText" dxfId="126" priority="726" operator="containsText" text="HOLD">
      <formula>NOT(ISERROR(SEARCH("HOLD",R180)))</formula>
    </cfRule>
    <cfRule type="containsText" dxfId="125" priority="727" operator="containsText" text="NOT YET STARTED">
      <formula>NOT(ISERROR(SEARCH("NOT YET STARTED",R180)))</formula>
    </cfRule>
    <cfRule type="containsText" dxfId="124" priority="728" operator="containsText" text="IN PROGRESS">
      <formula>NOT(ISERROR(SEARCH("IN PROGRESS",R180)))</formula>
    </cfRule>
  </conditionalFormatting>
  <conditionalFormatting sqref="R191:R192">
    <cfRule type="containsText" dxfId="123" priority="721" operator="containsText" text="COMPLETED">
      <formula>NOT(ISERROR(SEARCH("COMPLETED",R191)))</formula>
    </cfRule>
    <cfRule type="containsText" dxfId="122" priority="722" operator="containsText" text="HOLD">
      <formula>NOT(ISERROR(SEARCH("HOLD",R191)))</formula>
    </cfRule>
    <cfRule type="containsText" dxfId="121" priority="723" operator="containsText" text="NOT YET STARTED">
      <formula>NOT(ISERROR(SEARCH("NOT YET STARTED",R191)))</formula>
    </cfRule>
    <cfRule type="containsText" dxfId="120" priority="724" operator="containsText" text="IN PROGRESS">
      <formula>NOT(ISERROR(SEARCH("IN PROGRESS",R191)))</formula>
    </cfRule>
  </conditionalFormatting>
  <conditionalFormatting sqref="R197">
    <cfRule type="expression" priority="207">
      <formula>SEARCH("BILLING DONE", $B197) &gt; 0</formula>
    </cfRule>
    <cfRule type="expression" dxfId="119" priority="208">
      <formula>SEARCH("NOT BILLED", $B197) &gt; 0</formula>
    </cfRule>
  </conditionalFormatting>
  <conditionalFormatting sqref="R285">
    <cfRule type="expression" priority="821">
      <formula>SEARCH("BILLING DONE", $B285) &gt; 0</formula>
    </cfRule>
    <cfRule type="expression" dxfId="118" priority="822">
      <formula>SEARCH("NOT BILLED", $B285) &gt; 0</formula>
    </cfRule>
  </conditionalFormatting>
  <conditionalFormatting sqref="R288:R290">
    <cfRule type="containsText" dxfId="117" priority="489" operator="containsText" text="COMPLETED">
      <formula>NOT(ISERROR(SEARCH("COMPLETED",R288)))</formula>
    </cfRule>
    <cfRule type="containsText" dxfId="116" priority="490" operator="containsText" text="HOLD">
      <formula>NOT(ISERROR(SEARCH("HOLD",R288)))</formula>
    </cfRule>
    <cfRule type="containsText" dxfId="115" priority="491" operator="containsText" text="NOT YET STARTED">
      <formula>NOT(ISERROR(SEARCH("NOT YET STARTED",R288)))</formula>
    </cfRule>
    <cfRule type="containsText" dxfId="114" priority="492" operator="containsText" text="IN PROGRESS">
      <formula>NOT(ISERROR(SEARCH("IN PROGRESS",R288)))</formula>
    </cfRule>
    <cfRule type="expression" priority="493">
      <formula>SEARCH("BILLING DONE", $B288) &gt; 0</formula>
    </cfRule>
    <cfRule type="expression" dxfId="113" priority="494">
      <formula>SEARCH("NOT BILLED", $B288) &gt; 0</formula>
    </cfRule>
  </conditionalFormatting>
  <conditionalFormatting sqref="S17">
    <cfRule type="containsText" dxfId="112" priority="437" operator="containsText" text="COMPLETED">
      <formula>NOT(ISERROR(SEARCH("COMPLETED",S17)))</formula>
    </cfRule>
    <cfRule type="containsText" dxfId="111" priority="438" operator="containsText" text="HOLD">
      <formula>NOT(ISERROR(SEARCH("HOLD",S17)))</formula>
    </cfRule>
    <cfRule type="containsText" dxfId="110" priority="439" operator="containsText" text="NOT YET STARTED">
      <formula>NOT(ISERROR(SEARCH("NOT YET STARTED",S17)))</formula>
    </cfRule>
    <cfRule type="containsText" dxfId="109" priority="440" operator="containsText" text="IN PROGRESS">
      <formula>NOT(ISERROR(SEARCH("IN PROGRESS",S17)))</formula>
    </cfRule>
  </conditionalFormatting>
  <conditionalFormatting sqref="S76:S77">
    <cfRule type="expression" priority="815">
      <formula>SEARCH("BILLING DONE", $B76) &gt; 0</formula>
    </cfRule>
    <cfRule type="expression" dxfId="108" priority="816">
      <formula>SEARCH("NOT BILLED", $B76) &gt; 0</formula>
    </cfRule>
    <cfRule type="containsText" dxfId="107" priority="827" operator="containsText" text="COMPLETED">
      <formula>NOT(ISERROR(SEARCH("COMPLETED",S76)))</formula>
    </cfRule>
    <cfRule type="containsText" dxfId="106" priority="828" operator="containsText" text="HOLD">
      <formula>NOT(ISERROR(SEARCH("HOLD",S76)))</formula>
    </cfRule>
    <cfRule type="containsText" dxfId="105" priority="831" operator="containsText" text="NOT YET STARTED">
      <formula>NOT(ISERROR(SEARCH("NOT YET STARTED",S76)))</formula>
    </cfRule>
    <cfRule type="containsText" dxfId="104" priority="832" operator="containsText" text="IN PROGRESS">
      <formula>NOT(ISERROR(SEARCH("IN PROGRESS",S76)))</formula>
    </cfRule>
  </conditionalFormatting>
  <conditionalFormatting sqref="S104">
    <cfRule type="expression" priority="483">
      <formula>SEARCH("BILLING DONE", $B104) &gt; 0</formula>
    </cfRule>
    <cfRule type="expression" dxfId="103" priority="484">
      <formula>SEARCH("NOT BILLED", $B104) &gt; 0</formula>
    </cfRule>
    <cfRule type="containsText" dxfId="102" priority="485" operator="containsText" text="COMPLETED">
      <formula>NOT(ISERROR(SEARCH("COMPLETED",S104)))</formula>
    </cfRule>
    <cfRule type="containsText" dxfId="101" priority="486" operator="containsText" text="HOLD">
      <formula>NOT(ISERROR(SEARCH("HOLD",S104)))</formula>
    </cfRule>
    <cfRule type="containsText" dxfId="100" priority="487" operator="containsText" text="NOT YET STARTED">
      <formula>NOT(ISERROR(SEARCH("NOT YET STARTED",S104)))</formula>
    </cfRule>
    <cfRule type="containsText" dxfId="99" priority="488" operator="containsText" text="IN PROGRESS">
      <formula>NOT(ISERROR(SEARCH("IN PROGRESS",S104)))</formula>
    </cfRule>
  </conditionalFormatting>
  <conditionalFormatting sqref="S106">
    <cfRule type="containsText" dxfId="98" priority="715" operator="containsText" text="COMPLETED">
      <formula>NOT(ISERROR(SEARCH("COMPLETED",S106)))</formula>
    </cfRule>
    <cfRule type="containsText" dxfId="97" priority="716" operator="containsText" text="HOLD">
      <formula>NOT(ISERROR(SEARCH("HOLD",S106)))</formula>
    </cfRule>
    <cfRule type="containsText" dxfId="96" priority="717" operator="containsText" text="NOT YET STARTED">
      <formula>NOT(ISERROR(SEARCH("NOT YET STARTED",S106)))</formula>
    </cfRule>
    <cfRule type="containsText" dxfId="95" priority="718" operator="containsText" text="IN PROGRESS">
      <formula>NOT(ISERROR(SEARCH("IN PROGRESS",S106)))</formula>
    </cfRule>
    <cfRule type="expression" priority="719">
      <formula>SEARCH("BILLING DONE", $B106) &gt; 0</formula>
    </cfRule>
    <cfRule type="expression" dxfId="94" priority="720">
      <formula>SEARCH("NOT BILLED", $B106) &gt; 0</formula>
    </cfRule>
    <cfRule type="containsText" dxfId="93" priority="739" operator="containsText" text="COMPLETED">
      <formula>NOT(ISERROR(SEARCH("COMPLETED",S106)))</formula>
    </cfRule>
    <cfRule type="containsText" dxfId="92" priority="740" operator="containsText" text="HOLD">
      <formula>NOT(ISERROR(SEARCH("HOLD",S106)))</formula>
    </cfRule>
    <cfRule type="containsText" dxfId="91" priority="741" operator="containsText" text="NOT YET STARTED">
      <formula>NOT(ISERROR(SEARCH("NOT YET STARTED",S106)))</formula>
    </cfRule>
    <cfRule type="containsText" dxfId="90" priority="742" operator="containsText" text="IN PROGRESS">
      <formula>NOT(ISERROR(SEARCH("IN PROGRESS",S106)))</formula>
    </cfRule>
  </conditionalFormatting>
  <conditionalFormatting sqref="S131">
    <cfRule type="expression" priority="461">
      <formula>SEARCH("BILLING DONE", $B131) &gt; 0</formula>
    </cfRule>
    <cfRule type="expression" dxfId="89" priority="462">
      <formula>SEARCH("NOT BILLED", $B131) &gt; 0</formula>
    </cfRule>
  </conditionalFormatting>
  <conditionalFormatting sqref="S142:S143">
    <cfRule type="expression" priority="689">
      <formula>SEARCH("BILLING DONE", $B142) &gt; 0</formula>
    </cfRule>
    <cfRule type="expression" dxfId="88" priority="690">
      <formula>SEARCH("NOT BILLED", $B142) &gt; 0</formula>
    </cfRule>
    <cfRule type="containsText" dxfId="87" priority="691" operator="containsText" text="COMPLETED">
      <formula>NOT(ISERROR(SEARCH("COMPLETED",S142)))</formula>
    </cfRule>
    <cfRule type="containsText" dxfId="86" priority="692" operator="containsText" text="HOLD">
      <formula>NOT(ISERROR(SEARCH("HOLD",S142)))</formula>
    </cfRule>
    <cfRule type="containsText" dxfId="85" priority="693" operator="containsText" text="NOT YET STARTED">
      <formula>NOT(ISERROR(SEARCH("NOT YET STARTED",S142)))</formula>
    </cfRule>
    <cfRule type="containsText" dxfId="84" priority="694" operator="containsText" text="IN PROGRESS">
      <formula>NOT(ISERROR(SEARCH("IN PROGRESS",S142)))</formula>
    </cfRule>
    <cfRule type="containsText" dxfId="83" priority="701" operator="containsText" text="COMPLETED">
      <formula>NOT(ISERROR(SEARCH("COMPLETED",S142)))</formula>
    </cfRule>
    <cfRule type="containsText" dxfId="82" priority="702" operator="containsText" text="HOLD">
      <formula>NOT(ISERROR(SEARCH("HOLD",S142)))</formula>
    </cfRule>
    <cfRule type="containsText" dxfId="81" priority="703" operator="containsText" text="NOT YET STARTED">
      <formula>NOT(ISERROR(SEARCH("NOT YET STARTED",S142)))</formula>
    </cfRule>
    <cfRule type="containsText" dxfId="80" priority="704" operator="containsText" text="IN PROGRESS">
      <formula>NOT(ISERROR(SEARCH("IN PROGRESS",S142)))</formula>
    </cfRule>
  </conditionalFormatting>
  <conditionalFormatting sqref="S148:S150">
    <cfRule type="expression" priority="649">
      <formula>SEARCH("BILLING DONE", $B148) &gt; 0</formula>
    </cfRule>
    <cfRule type="expression" dxfId="79" priority="650">
      <formula>SEARCH("NOT BILLED", $B148) &gt; 0</formula>
    </cfRule>
    <cfRule type="containsText" dxfId="78" priority="651" operator="containsText" text="COMPLETED">
      <formula>NOT(ISERROR(SEARCH("COMPLETED",S148)))</formula>
    </cfRule>
    <cfRule type="containsText" dxfId="77" priority="652" operator="containsText" text="HOLD">
      <formula>NOT(ISERROR(SEARCH("HOLD",S148)))</formula>
    </cfRule>
    <cfRule type="containsText" dxfId="76" priority="653" operator="containsText" text="NOT YET STARTED">
      <formula>NOT(ISERROR(SEARCH("NOT YET STARTED",S148)))</formula>
    </cfRule>
    <cfRule type="containsText" dxfId="75" priority="654" operator="containsText" text="IN PROGRESS">
      <formula>NOT(ISERROR(SEARCH("IN PROGRESS",S148)))</formula>
    </cfRule>
  </conditionalFormatting>
  <conditionalFormatting sqref="S153:S154">
    <cfRule type="containsText" dxfId="74" priority="373" operator="containsText" text="COMPLETED">
      <formula>NOT(ISERROR(SEARCH("COMPLETED",S153)))</formula>
    </cfRule>
    <cfRule type="containsText" dxfId="73" priority="374" operator="containsText" text="HOLD">
      <formula>NOT(ISERROR(SEARCH("HOLD",S153)))</formula>
    </cfRule>
    <cfRule type="containsText" dxfId="72" priority="375" operator="containsText" text="NOT YET STARTED">
      <formula>NOT(ISERROR(SEARCH("NOT YET STARTED",S153)))</formula>
    </cfRule>
    <cfRule type="containsText" dxfId="71" priority="376" operator="containsText" text="IN PROGRESS">
      <formula>NOT(ISERROR(SEARCH("IN PROGRESS",S153)))</formula>
    </cfRule>
  </conditionalFormatting>
  <conditionalFormatting sqref="S153:S155">
    <cfRule type="expression" priority="155">
      <formula>SEARCH("BILLING DONE", $B152) &gt; 0</formula>
    </cfRule>
    <cfRule type="expression" dxfId="70" priority="156">
      <formula>SEARCH("NOT BILLED", $B152) &gt; 0</formula>
    </cfRule>
    <cfRule type="containsText" dxfId="69" priority="161" operator="containsText" text="COMPLETED">
      <formula>NOT(ISERROR(SEARCH("COMPLETED",S153)))</formula>
    </cfRule>
    <cfRule type="containsText" dxfId="68" priority="162" operator="containsText" text="HOLD">
      <formula>NOT(ISERROR(SEARCH("HOLD",S153)))</formula>
    </cfRule>
    <cfRule type="containsText" dxfId="67" priority="163" operator="containsText" text="NOT YET STARTED">
      <formula>NOT(ISERROR(SEARCH("NOT YET STARTED",S153)))</formula>
    </cfRule>
    <cfRule type="containsText" dxfId="66" priority="164" operator="containsText" text="IN PROGRESS">
      <formula>NOT(ISERROR(SEARCH("IN PROGRESS",S153)))</formula>
    </cfRule>
  </conditionalFormatting>
  <conditionalFormatting sqref="S154">
    <cfRule type="expression" priority="549">
      <formula>SEARCH("BILLING DONE", $B154) &gt; 0</formula>
    </cfRule>
    <cfRule type="expression" dxfId="65" priority="550">
      <formula>SEARCH("NOT BILLED", $B154) &gt; 0</formula>
    </cfRule>
    <cfRule type="containsText" dxfId="64" priority="637" operator="containsText" text="COMPLETED">
      <formula>NOT(ISERROR(SEARCH("COMPLETED",S154)))</formula>
    </cfRule>
    <cfRule type="containsText" dxfId="63" priority="638" operator="containsText" text="HOLD">
      <formula>NOT(ISERROR(SEARCH("HOLD",S154)))</formula>
    </cfRule>
    <cfRule type="containsText" dxfId="62" priority="639" operator="containsText" text="NOT YET STARTED">
      <formula>NOT(ISERROR(SEARCH("NOT YET STARTED",S154)))</formula>
    </cfRule>
    <cfRule type="containsText" dxfId="61" priority="640" operator="containsText" text="IN PROGRESS">
      <formula>NOT(ISERROR(SEARCH("IN PROGRESS",S154)))</formula>
    </cfRule>
  </conditionalFormatting>
  <conditionalFormatting sqref="S155">
    <cfRule type="containsText" dxfId="60" priority="157" operator="containsText" text="COMPLETED">
      <formula>NOT(ISERROR(SEARCH("COMPLETED",S155)))</formula>
    </cfRule>
    <cfRule type="containsText" dxfId="59" priority="158" operator="containsText" text="HOLD">
      <formula>NOT(ISERROR(SEARCH("HOLD",S155)))</formula>
    </cfRule>
    <cfRule type="containsText" dxfId="58" priority="159" operator="containsText" text="NOT YET STARTED">
      <formula>NOT(ISERROR(SEARCH("NOT YET STARTED",S155)))</formula>
    </cfRule>
    <cfRule type="containsText" dxfId="57" priority="160" operator="containsText" text="IN PROGRESS">
      <formula>NOT(ISERROR(SEARCH("IN PROGRESS",S155)))</formula>
    </cfRule>
  </conditionalFormatting>
  <conditionalFormatting sqref="S168">
    <cfRule type="containsText" dxfId="56" priority="843" operator="containsText" text="COMPLETED">
      <formula>NOT(ISERROR(SEARCH("COMPLETED",S168)))</formula>
    </cfRule>
    <cfRule type="containsText" dxfId="55" priority="844" operator="containsText" text="HOLD">
      <formula>NOT(ISERROR(SEARCH("HOLD",S168)))</formula>
    </cfRule>
    <cfRule type="containsText" dxfId="54" priority="845" operator="containsText" text="NOT YET STARTED">
      <formula>NOT(ISERROR(SEARCH("NOT YET STARTED",S168)))</formula>
    </cfRule>
    <cfRule type="containsText" dxfId="53" priority="846" operator="containsText" text="IN PROGRESS">
      <formula>NOT(ISERROR(SEARCH("IN PROGRESS",S168)))</formula>
    </cfRule>
  </conditionalFormatting>
  <conditionalFormatting sqref="S171">
    <cfRule type="containsText" dxfId="52" priority="685" operator="containsText" text="COMPLETED">
      <formula>NOT(ISERROR(SEARCH("COMPLETED",S171)))</formula>
    </cfRule>
    <cfRule type="containsText" dxfId="51" priority="686" operator="containsText" text="HOLD">
      <formula>NOT(ISERROR(SEARCH("HOLD",S171)))</formula>
    </cfRule>
    <cfRule type="containsText" dxfId="50" priority="687" operator="containsText" text="NOT YET STARTED">
      <formula>NOT(ISERROR(SEARCH("NOT YET STARTED",S171)))</formula>
    </cfRule>
    <cfRule type="containsText" dxfId="49" priority="688" operator="containsText" text="IN PROGRESS">
      <formula>NOT(ISERROR(SEARCH("IN PROGRESS",S171)))</formula>
    </cfRule>
  </conditionalFormatting>
  <conditionalFormatting sqref="S187">
    <cfRule type="containsText" dxfId="48" priority="431" operator="containsText" text="COMPLETED">
      <formula>NOT(ISERROR(SEARCH("COMPLETED",S187)))</formula>
    </cfRule>
    <cfRule type="containsText" dxfId="47" priority="432" operator="containsText" text="HOLD">
      <formula>NOT(ISERROR(SEARCH("HOLD",S187)))</formula>
    </cfRule>
    <cfRule type="containsText" dxfId="46" priority="433" operator="containsText" text="NOT YET STARTED">
      <formula>NOT(ISERROR(SEARCH("NOT YET STARTED",S187)))</formula>
    </cfRule>
    <cfRule type="containsText" dxfId="45" priority="434" operator="containsText" text="IN PROGRESS">
      <formula>NOT(ISERROR(SEARCH("IN PROGRESS",S187)))</formula>
    </cfRule>
    <cfRule type="expression" priority="449">
      <formula>SEARCH("BILLING DONE", $B187) &gt; 0</formula>
    </cfRule>
    <cfRule type="expression" dxfId="44" priority="450">
      <formula>SEARCH("NOT BILLED", $B187) &gt; 0</formula>
    </cfRule>
    <cfRule type="containsText" dxfId="43" priority="451" operator="containsText" text="COMPLETED">
      <formula>NOT(ISERROR(SEARCH("COMPLETED",S187)))</formula>
    </cfRule>
    <cfRule type="containsText" dxfId="42" priority="452" operator="containsText" text="HOLD">
      <formula>NOT(ISERROR(SEARCH("HOLD",S187)))</formula>
    </cfRule>
    <cfRule type="containsText" dxfId="41" priority="453" operator="containsText" text="NOT YET STARTED">
      <formula>NOT(ISERROR(SEARCH("NOT YET STARTED",S187)))</formula>
    </cfRule>
    <cfRule type="containsText" dxfId="40" priority="454" operator="containsText" text="IN PROGRESS">
      <formula>NOT(ISERROR(SEARCH("IN PROGRESS",S187)))</formula>
    </cfRule>
    <cfRule type="containsText" dxfId="39" priority="455" operator="containsText" text="COMPLETED">
      <formula>NOT(ISERROR(SEARCH("COMPLETED",S187)))</formula>
    </cfRule>
    <cfRule type="containsText" dxfId="38" priority="456" operator="containsText" text="HOLD">
      <formula>NOT(ISERROR(SEARCH("HOLD",S187)))</formula>
    </cfRule>
    <cfRule type="containsText" dxfId="37" priority="457" operator="containsText" text="NOT YET STARTED">
      <formula>NOT(ISERROR(SEARCH("NOT YET STARTED",S187)))</formula>
    </cfRule>
    <cfRule type="containsText" dxfId="36" priority="458" operator="containsText" text="IN PROGRESS">
      <formula>NOT(ISERROR(SEARCH("IN PROGRESS",S187)))</formula>
    </cfRule>
  </conditionalFormatting>
  <conditionalFormatting sqref="S192">
    <cfRule type="expression" priority="55">
      <formula>SEARCH("BILLING DONE", $B192) &gt; 0</formula>
    </cfRule>
    <cfRule type="expression" dxfId="35" priority="56">
      <formula>SEARCH("NOT BILLED", $B192) &gt; 0</formula>
    </cfRule>
  </conditionalFormatting>
  <conditionalFormatting sqref="S195">
    <cfRule type="expression" priority="59">
      <formula>SEARCH("BILLING DONE", $B195) &gt; 0</formula>
    </cfRule>
    <cfRule type="expression" dxfId="34" priority="60">
      <formula>SEARCH("NOT BILLED", $B195) &gt; 0</formula>
    </cfRule>
  </conditionalFormatting>
  <conditionalFormatting sqref="S288:S289">
    <cfRule type="expression" priority="529">
      <formula>SEARCH("BILLING DONE", $B288) &gt; 0</formula>
    </cfRule>
    <cfRule type="expression" dxfId="33" priority="530">
      <formula>SEARCH("NOT BILLED", $B288) &gt; 0</formula>
    </cfRule>
  </conditionalFormatting>
  <conditionalFormatting sqref="S296">
    <cfRule type="expression" priority="233">
      <formula>SEARCH("BILLING DONE", $B296) &gt; 0</formula>
    </cfRule>
    <cfRule type="expression" dxfId="32" priority="234">
      <formula>SEARCH("NOT BILLED", $B296) &gt; 0</formula>
    </cfRule>
  </conditionalFormatting>
  <conditionalFormatting sqref="S347">
    <cfRule type="expression" priority="253">
      <formula>SEARCH("BILLING DONE", $B347) &gt; 0</formula>
    </cfRule>
    <cfRule type="expression" dxfId="31" priority="254">
      <formula>SEARCH("NOT BILLED", $B347) &gt; 0</formula>
    </cfRule>
  </conditionalFormatting>
  <conditionalFormatting sqref="S364">
    <cfRule type="expression" priority="209">
      <formula>SEARCH("BILLING DONE", $B364) &gt; 0</formula>
    </cfRule>
    <cfRule type="expression" dxfId="30" priority="210">
      <formula>SEARCH("NOT BILLED", $B364) &gt; 0</formula>
    </cfRule>
  </conditionalFormatting>
  <conditionalFormatting sqref="S366">
    <cfRule type="expression" priority="273">
      <formula>SEARCH("BILLING DONE", $B366) &gt; 0</formula>
    </cfRule>
    <cfRule type="expression" dxfId="29" priority="274">
      <formula>SEARCH("NOT BILLED", $B366) &gt; 0</formula>
    </cfRule>
  </conditionalFormatting>
  <conditionalFormatting sqref="S130:T130">
    <cfRule type="expression" priority="463">
      <formula>SEARCH("BILLING DONE", $B130) &gt; 0</formula>
    </cfRule>
    <cfRule type="expression" dxfId="28" priority="464">
      <formula>SEARCH("NOT BILLED", $B130) &gt; 0</formula>
    </cfRule>
  </conditionalFormatting>
  <conditionalFormatting sqref="S133:T133">
    <cfRule type="expression" priority="199">
      <formula>SEARCH("BILLING DONE", $B133) &gt; 0</formula>
    </cfRule>
    <cfRule type="expression" dxfId="27" priority="200">
      <formula>SEARCH("NOT BILLED", $B133) &gt; 0</formula>
    </cfRule>
  </conditionalFormatting>
  <conditionalFormatting sqref="S279:S280">
    <cfRule type="expression" priority="817">
      <formula>SEARCH("BILLING DONE", $B279) &gt; 0</formula>
    </cfRule>
    <cfRule type="expression" dxfId="26" priority="818">
      <formula>SEARCH("NOT BILLED", $B279) &gt; 0</formula>
    </cfRule>
  </conditionalFormatting>
  <conditionalFormatting sqref="S285">
    <cfRule type="expression" priority="745">
      <formula>SEARCH("BILLING DONE", $B285) &gt; 0</formula>
    </cfRule>
    <cfRule type="expression" dxfId="25" priority="746">
      <formula>SEARCH("NOT BILLED", $B285) &gt; 0</formula>
    </cfRule>
  </conditionalFormatting>
  <conditionalFormatting sqref="T288:T289">
    <cfRule type="expression" priority="533">
      <formula>SEARCH("BILLING DONE", $B288) &gt; 0</formula>
    </cfRule>
    <cfRule type="expression" dxfId="24" priority="534">
      <formula>SEARCH("NOT BILLED", $B288) &gt; 0</formula>
    </cfRule>
  </conditionalFormatting>
  <conditionalFormatting sqref="T347">
    <cfRule type="expression" priority="257">
      <formula>SEARCH("BILLING DONE", $B347) &gt; 0</formula>
    </cfRule>
    <cfRule type="expression" dxfId="23" priority="258">
      <formula>SEARCH("NOT BILLED", $B347) &gt; 0</formula>
    </cfRule>
  </conditionalFormatting>
  <conditionalFormatting sqref="U130:U131">
    <cfRule type="expression" priority="459">
      <formula>SEARCH("BILLING DONE", $B130) &gt; 0</formula>
    </cfRule>
    <cfRule type="expression" dxfId="22" priority="460">
      <formula>SEARCH("NOT BILLED", $B130) &gt; 0</formula>
    </cfRule>
  </conditionalFormatting>
  <conditionalFormatting sqref="U288:U289">
    <cfRule type="expression" priority="535">
      <formula>SEARCH("BILLING DONE", $B288) &gt; 0</formula>
    </cfRule>
    <cfRule type="expression" dxfId="21" priority="536">
      <formula>SEARCH("NOT BILLED", $B288) &gt; 0</formula>
    </cfRule>
  </conditionalFormatting>
  <conditionalFormatting sqref="T279:T280">
    <cfRule type="expression" priority="41">
      <formula>SEARCH("BILLING DONE", $B279) &gt; 0</formula>
    </cfRule>
    <cfRule type="expression" dxfId="20" priority="42">
      <formula>SEARCH("NOT BILLED", $B279) &gt; 0</formula>
    </cfRule>
  </conditionalFormatting>
  <conditionalFormatting sqref="T285:T286">
    <cfRule type="expression" priority="39">
      <formula>SEARCH("BILLING DONE", $B285) &gt; 0</formula>
    </cfRule>
    <cfRule type="expression" dxfId="19" priority="40">
      <formula>SEARCH("NOT BILLED", $B285) &gt; 0</formula>
    </cfRule>
  </conditionalFormatting>
  <conditionalFormatting sqref="T294 T297 T300 T303 T306 T308 T311 T314 T317 T320 T322:T323 T326 T329 T332 T335 T337 T339 T342 T345">
    <cfRule type="expression" priority="37">
      <formula>SEARCH("BILLING DONE", $B294) &gt; 0</formula>
    </cfRule>
    <cfRule type="expression" dxfId="18" priority="38">
      <formula>SEARCH("NOT BILLED", $B294) &gt; 0</formula>
    </cfRule>
  </conditionalFormatting>
  <conditionalFormatting sqref="T350:T351">
    <cfRule type="expression" priority="35">
      <formula>SEARCH("BILLING DONE", $B350) &gt; 0</formula>
    </cfRule>
    <cfRule type="expression" dxfId="17" priority="36">
      <formula>SEARCH("NOT BILLED", $B350) &gt; 0</formula>
    </cfRule>
  </conditionalFormatting>
  <conditionalFormatting sqref="T352">
    <cfRule type="expression" priority="33">
      <formula>SEARCH("BILLING DONE", $B352) &gt; 0</formula>
    </cfRule>
    <cfRule type="expression" dxfId="16" priority="34">
      <formula>SEARCH("NOT BILLED", $B352) &gt; 0</formula>
    </cfRule>
  </conditionalFormatting>
  <conditionalFormatting sqref="T354:T355">
    <cfRule type="expression" priority="31">
      <formula>SEARCH("BILLING DONE", $B354) &gt; 0</formula>
    </cfRule>
    <cfRule type="expression" dxfId="15" priority="32">
      <formula>SEARCH("NOT BILLED", $B354) &gt; 0</formula>
    </cfRule>
  </conditionalFormatting>
  <conditionalFormatting sqref="T356">
    <cfRule type="expression" priority="29">
      <formula>SEARCH("BILLING DONE", $B356) &gt; 0</formula>
    </cfRule>
    <cfRule type="expression" dxfId="14" priority="30">
      <formula>SEARCH("NOT BILLED", $B356) &gt; 0</formula>
    </cfRule>
  </conditionalFormatting>
  <conditionalFormatting sqref="T358:T359 T361">
    <cfRule type="expression" priority="27">
      <formula>SEARCH("BILLING DONE", $B358) &gt; 0</formula>
    </cfRule>
    <cfRule type="expression" dxfId="13" priority="28">
      <formula>SEARCH("NOT BILLED", $B358) &gt; 0</formula>
    </cfRule>
  </conditionalFormatting>
  <conditionalFormatting sqref="T360">
    <cfRule type="expression" priority="25">
      <formula>SEARCH("BILLING DONE", $B360) &gt; 0</formula>
    </cfRule>
    <cfRule type="expression" dxfId="12" priority="26">
      <formula>SEARCH("NOT BILLED", $B360) &gt; 0</formula>
    </cfRule>
  </conditionalFormatting>
  <conditionalFormatting sqref="T374 T370 T372 T376:T377">
    <cfRule type="expression" priority="19">
      <formula>SEARCH("BILLING DONE", $B370) &gt; 0</formula>
    </cfRule>
    <cfRule type="expression" dxfId="11" priority="20">
      <formula>SEARCH("NOT BILLED", $B370) &gt; 0</formula>
    </cfRule>
  </conditionalFormatting>
  <conditionalFormatting sqref="T375 T371">
    <cfRule type="expression" priority="17">
      <formula>SEARCH("BILLING DONE", $B371) &gt; 0</formula>
    </cfRule>
    <cfRule type="expression" dxfId="10" priority="18">
      <formula>SEARCH("NOT BILLED", $B371) &gt; 0</formula>
    </cfRule>
  </conditionalFormatting>
  <conditionalFormatting sqref="T391 T393:T394 T396:T397 T399:T400 T402:T403 T405:T406 T408 T410:T411 T413:T414 T416:T417 T419:T421 T423:T424">
    <cfRule type="expression" priority="15">
      <formula>SEARCH("BILLING DONE", $B391) &gt; 0</formula>
    </cfRule>
    <cfRule type="expression" dxfId="9" priority="16">
      <formula>SEARCH("NOT BILLED", $B391) &gt; 0</formula>
    </cfRule>
  </conditionalFormatting>
  <conditionalFormatting sqref="T392 T395 T398 T401 T404 T407 T409 T412 T415 T418 T422 T425">
    <cfRule type="expression" priority="13">
      <formula>SEARCH("BILLING DONE", $B392) &gt; 0</formula>
    </cfRule>
    <cfRule type="expression" dxfId="8" priority="14">
      <formula>SEARCH("NOT BILLED", $B392) &gt; 0</formula>
    </cfRule>
  </conditionalFormatting>
  <conditionalFormatting sqref="H412:H415">
    <cfRule type="expression" priority="2100">
      <formula>SEARCH("BILLING DONE", $B413) &gt; 0</formula>
    </cfRule>
    <cfRule type="expression" dxfId="7" priority="2101">
      <formula>SEARCH("NOT BILLED", $B413) &gt; 0</formula>
    </cfRule>
  </conditionalFormatting>
  <conditionalFormatting sqref="T379:T380">
    <cfRule type="expression" priority="11">
      <formula>SEARCH("BILLING DONE", $B379) &gt; 0</formula>
    </cfRule>
    <cfRule type="expression" dxfId="6" priority="12">
      <formula>SEARCH("NOT BILLED", $B379) &gt; 0</formula>
    </cfRule>
  </conditionalFormatting>
  <conditionalFormatting sqref="T382:T383">
    <cfRule type="expression" priority="9">
      <formula>SEARCH("BILLING DONE", $B382) &gt; 0</formula>
    </cfRule>
    <cfRule type="expression" dxfId="5" priority="10">
      <formula>SEARCH("NOT BILLED", $B382) &gt; 0</formula>
    </cfRule>
  </conditionalFormatting>
  <conditionalFormatting sqref="T385:T388">
    <cfRule type="expression" priority="7">
      <formula>SEARCH("BILLING DONE", $B385) &gt; 0</formula>
    </cfRule>
    <cfRule type="expression" dxfId="4" priority="8">
      <formula>SEARCH("NOT BILLED", $B385) &gt; 0</formula>
    </cfRule>
  </conditionalFormatting>
  <conditionalFormatting sqref="C305:C348">
    <cfRule type="expression" priority="2104">
      <formula>SEARCH("BILLING DONE", $B295) &gt; 0</formula>
    </cfRule>
    <cfRule type="expression" dxfId="3" priority="2105">
      <formula>SEARCH("NOT BILLED", $B295) &gt; 0</formula>
    </cfRule>
  </conditionalFormatting>
  <conditionalFormatting sqref="C294:C304">
    <cfRule type="expression" priority="5">
      <formula>SEARCH("BILLING DONE", $B284) &gt; 0</formula>
    </cfRule>
    <cfRule type="expression" dxfId="2" priority="6">
      <formula>SEARCH("NOT BILLED", $B284) &gt; 0</formula>
    </cfRule>
  </conditionalFormatting>
  <conditionalFormatting sqref="H385">
    <cfRule type="expression" priority="3">
      <formula>SEARCH("BILLING DONE", $B385) &gt; 0</formula>
    </cfRule>
    <cfRule type="expression" dxfId="1" priority="4">
      <formula>SEARCH("NOT BILLED", $B385) &gt; 0</formula>
    </cfRule>
  </conditionalFormatting>
  <conditionalFormatting sqref="H386">
    <cfRule type="expression" priority="1">
      <formula>SEARCH("BILLING DONE", $B386) &gt; 0</formula>
    </cfRule>
    <cfRule type="expression" dxfId="0" priority="2">
      <formula>SEARCH("NOT BILLED", $B386) &gt; 0</formula>
    </cfRule>
  </conditionalFormatting>
  <dataValidations xWindow="402" yWindow="442" count="1">
    <dataValidation allowBlank="1" showInputMessage="1" showErrorMessage="1" promptTitle="DATE" prompt="JUST ENTER MM/DD" sqref="F89:F90 H80:H83 H183:H184 F85:F87 H33:H38 F100:F108 H85:H86 H96:H98 F110:F111 F24:F27 H24:H27 F33:F38 F40:F44 F385:F389 F29:F31 H46:H47 F46:F47 H54:H55 F54:F55 H71:H73 H92:H94 F92:F94 F96:F98 H110:H111 H7:H9 F7:F9 P187 F11:F17 H19:H22 F19:F22 H29:H31 H49:H52 F49:F52 F57:F58 H57:H58 F60:F66 H60:H66 F68:F69 H68:H69 F71:F73 F75:F78 F80:F83 H100:H108 H113:H114 F113:F114 H116:H117 F116:F117 F354:F356 F119:F122 F124:F125 H124:H125 H75:H78 H119:H122 P76:P78 H145 F145 H159 F147:F150 H370:H372 H157 F141:F143 H167:H168 F167:F168 H170:H171 F170:F171 H173:H174 F173:F174 F176:F178 H180:H181 F180:F181 H285:H286 H391:H398 H137:H139 F137:F139 H141:H143 F157:F159 H161:H165 F161:F165 H152:H155 F183:F184 F189 H189 H89:I90 H282:H283 P148:P150 F191:F192 P194:P196 H288:H292 P279:P280 H186:H187 F186:F187 H348:I348 P129:P131 F199:F277 P106 P117 P153:P155 P285 F279:F280 P171 P142:P143 H147:H150 H194:H197 H309:H312 H315 H318 F294:F348 H374:H377 F382:F383 H379:H380 H382:H383 F374:F377 F379:F380 H40:H44 H199:H276 H191:H192 P17 H295:H299 I149:I150 F282:F283 F350:F352 F391:F428 F285:F286 H302:H306 P288:P289 P104 H176:H178 F127:F135 H11:H17 F152:F155 H127:H135 F358:F361 F363:F364 P364 H279:H280 H402:H425 P191:P192 H367:H368 F366:F368 P133 F194:F197 F288:F292 H321:H347 P347 P178 P296 H355:H356 I296 F370:F372 H351:H352 H385:H389" xr:uid="{00000000-0002-0000-0100-000000000000}">
      <formula1>0</formula1>
      <formula2>0</formula2>
    </dataValidation>
  </dataValidations>
  <pageMargins left="0.7" right="0.7" top="0.75" bottom="0.75" header="0.3" footer="0.3"/>
  <pageSetup paperSize="9" orientation="portrait" r:id="rId1"/>
  <ignoredErrors>
    <ignoredError sqref="H29:H31" twoDigitTextYea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May 1st Week</vt:lpstr>
      <vt:lpstr>White Cap Work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RDS-1</dc:creator>
  <cp:lastModifiedBy>Ramesh Babu Bada</cp:lastModifiedBy>
  <cp:lastPrinted>2026-04-28T06:32:24Z</cp:lastPrinted>
  <dcterms:created xsi:type="dcterms:W3CDTF">2023-03-20T10:27:38Z</dcterms:created>
  <dcterms:modified xsi:type="dcterms:W3CDTF">2026-06-29T09:22:18Z</dcterms:modified>
</cp:coreProperties>
</file>