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7EADE551-F3C8-448B-8F0F-FD9ACB187D0D}" xr6:coauthVersionLast="47" xr6:coauthVersionMax="47" xr10:uidLastSave="{00000000-0000-0000-0000-000000000000}"/>
  <bookViews>
    <workbookView xWindow="-120" yWindow="-120" windowWidth="20730" windowHeight="11040" tabRatio="666" firstSheet="1" activeTab="1" xr2:uid="{00000000-000D-0000-FFFF-FFFF00000000}"/>
  </bookViews>
  <sheets>
    <sheet name="May 1st Week" sheetId="36" r:id="rId1"/>
    <sheet name="White Cap Work Schedule" sheetId="42" r:id="rId2"/>
  </sheets>
  <definedNames>
    <definedName name="_xlnm._FilterDatabase" localSheetId="0" hidden="1">'May 1st Week'!#REF!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44" i="36" l="1"/>
  <c r="F23" i="36"/>
  <c r="I106" i="36"/>
  <c r="G103" i="36"/>
  <c r="F103" i="36"/>
  <c r="F93" i="36"/>
  <c r="G44" i="36"/>
  <c r="G23" i="36"/>
  <c r="J93" i="36" l="1"/>
  <c r="J44" i="36"/>
  <c r="J23" i="36"/>
</calcChain>
</file>

<file path=xl/sharedStrings.xml><?xml version="1.0" encoding="utf-8"?>
<sst xmlns="http://schemas.openxmlformats.org/spreadsheetml/2006/main" count="1271" uniqueCount="411">
  <si>
    <t>Client</t>
  </si>
  <si>
    <t>Description</t>
  </si>
  <si>
    <t>Tonnage</t>
  </si>
  <si>
    <t>Hours</t>
  </si>
  <si>
    <t>Status</t>
  </si>
  <si>
    <t>Remarks</t>
  </si>
  <si>
    <t>S.no</t>
  </si>
  <si>
    <t>Date Range</t>
  </si>
  <si>
    <t>Work in hand</t>
  </si>
  <si>
    <t>Leaves</t>
  </si>
  <si>
    <t>Permissions</t>
  </si>
  <si>
    <t>Over Time</t>
  </si>
  <si>
    <t>Bar listing &amp; FFU drawings. (Non billable work)</t>
  </si>
  <si>
    <t>Chandra Mouli</t>
  </si>
  <si>
    <t>Nanaji</t>
  </si>
  <si>
    <t>Swathi</t>
  </si>
  <si>
    <t>Sridevi</t>
  </si>
  <si>
    <t>Eswar</t>
  </si>
  <si>
    <t>Total</t>
  </si>
  <si>
    <t>Engineers</t>
  </si>
  <si>
    <t>S.No</t>
  </si>
  <si>
    <t>Rebar @ Structural Steel</t>
  </si>
  <si>
    <t>Frist Week Weight+hours</t>
  </si>
  <si>
    <t xml:space="preserve">Second week Weight + hours </t>
  </si>
  <si>
    <t>Third week weight+hours</t>
  </si>
  <si>
    <t xml:space="preserve">Fourth week Weight + hours </t>
  </si>
  <si>
    <t>Projects &amp; Actives for Above dates</t>
  </si>
  <si>
    <t>Project name</t>
  </si>
  <si>
    <t>Jagadeesh</t>
  </si>
  <si>
    <t>Foundations</t>
  </si>
  <si>
    <t>Lokesh reddy</t>
  </si>
  <si>
    <t>Vaishnavi</t>
  </si>
  <si>
    <t>Kunal</t>
  </si>
  <si>
    <t>Praveena</t>
  </si>
  <si>
    <t>Sri lalitha</t>
  </si>
  <si>
    <t>Pradeep</t>
  </si>
  <si>
    <t xml:space="preserve"> Y Siva kumar</t>
  </si>
  <si>
    <t>127 EL Bravo Way</t>
  </si>
  <si>
    <t>Cloyd</t>
  </si>
  <si>
    <t>Ackerman Residence</t>
  </si>
  <si>
    <t xml:space="preserve"> Projects &amp; Actives Planned to This week</t>
  </si>
  <si>
    <t>Bluewater cove 11</t>
  </si>
  <si>
    <t>Bluewater cove 9</t>
  </si>
  <si>
    <t>164 Seminole</t>
  </si>
  <si>
    <t>Roy &amp; Shelley Silverman</t>
  </si>
  <si>
    <t>Burns Residence</t>
  </si>
  <si>
    <t>Valencia Del Mar Clubhouse</t>
  </si>
  <si>
    <t>910 S Ocean</t>
  </si>
  <si>
    <t>Detaielrs</t>
  </si>
  <si>
    <t>Anji Reddy</t>
  </si>
  <si>
    <t>Rebar Department Weekly Project Status Report-April 2026</t>
  </si>
  <si>
    <t>Slab on grade</t>
  </si>
  <si>
    <t>320 S atlantic Drive</t>
  </si>
  <si>
    <t>Jandrews Residence</t>
  </si>
  <si>
    <t>South Florida Jewish Cemetery</t>
  </si>
  <si>
    <t>20 Hudson Ave</t>
  </si>
  <si>
    <t>Custom Residence (515 lido drive)</t>
  </si>
  <si>
    <t>1820 S Federal Hwy - Fifth Third Bank</t>
  </si>
  <si>
    <t>PBIA - Revenue Control Building</t>
  </si>
  <si>
    <t>5940 North Bay Road (NEW SINGLE FAMILY RESIDENCE)</t>
  </si>
  <si>
    <t>Completed</t>
  </si>
  <si>
    <t>Inprogress</t>
  </si>
  <si>
    <t>South Rd Office Building E</t>
  </si>
  <si>
    <t>Baig Residence</t>
  </si>
  <si>
    <t>PROJECT NAME</t>
  </si>
  <si>
    <t>STATUS</t>
  </si>
  <si>
    <t>DETAILER</t>
  </si>
  <si>
    <t>CHECKER</t>
  </si>
  <si>
    <t>228 Rutland</t>
  </si>
  <si>
    <t>4669 S. Flagler Dr</t>
  </si>
  <si>
    <t>02-21-2026</t>
  </si>
  <si>
    <t>02-25-2026</t>
  </si>
  <si>
    <t>Cutler Bay SHS</t>
  </si>
  <si>
    <t>Felies Residence</t>
  </si>
  <si>
    <t>01-13-2026</t>
  </si>
  <si>
    <t>Harrison Residence</t>
  </si>
  <si>
    <t>01-27-2026</t>
  </si>
  <si>
    <t>Palmetto Lakes Industrial Park</t>
  </si>
  <si>
    <t>01-19-2026</t>
  </si>
  <si>
    <t>Foundations and slab on grade</t>
  </si>
  <si>
    <t>Lift - 1 walls, Columns &amp; Beams</t>
  </si>
  <si>
    <t>Lift - 2 walls, Columns &amp; Beams</t>
  </si>
  <si>
    <t>01-27-26</t>
  </si>
  <si>
    <t>Sri Lalitha</t>
  </si>
  <si>
    <t>Valencia Del Mar Pickleball</t>
  </si>
  <si>
    <t>Lift - 1 Verticals &amp; beams</t>
  </si>
  <si>
    <t>Lift - 2 Verticals &amp; beams</t>
  </si>
  <si>
    <t>Double Dumpster Enclosure</t>
  </si>
  <si>
    <t>Single Dumpster Enclosure</t>
  </si>
  <si>
    <t>Mail Pavilion</t>
  </si>
  <si>
    <t>01-14-26</t>
  </si>
  <si>
    <t>01-23-2026</t>
  </si>
  <si>
    <t>02-18-2026</t>
  </si>
  <si>
    <t>Lift - 1 Verticals &amp; beams, 2nd floor slab &amp; beams</t>
  </si>
  <si>
    <t>Lift - 2 verticals &amp; beams, Roof slab &amp; beams</t>
  </si>
  <si>
    <t>01-29-2026</t>
  </si>
  <si>
    <t>Kameshwari</t>
  </si>
  <si>
    <t>Frenchman's Creek Operations Center</t>
  </si>
  <si>
    <t>Building - A Foundations &amp; slab on grade</t>
  </si>
  <si>
    <t>Building - B Foundations &amp; slab on grade</t>
  </si>
  <si>
    <t>Building - C Foundations &amp; slab on grade</t>
  </si>
  <si>
    <t>Building - D Foundations &amp; slab on grade</t>
  </si>
  <si>
    <t>Building - E Foundations &amp; slab on grade</t>
  </si>
  <si>
    <t>Building - F Foundations &amp; slab on grade</t>
  </si>
  <si>
    <t>01-26-2026</t>
  </si>
  <si>
    <t>01-21-2026</t>
  </si>
  <si>
    <t>01-28-2026</t>
  </si>
  <si>
    <t>01-31-2026</t>
  </si>
  <si>
    <t>Narayana</t>
  </si>
  <si>
    <t>Miami Shores Residence (R+R bluenest)</t>
  </si>
  <si>
    <t>Lift - 1 Verticals, 2nd floor slab &amp; beams</t>
  </si>
  <si>
    <t>Lift - 2 Verticals and Roof beams</t>
  </si>
  <si>
    <t>03-20-2026</t>
  </si>
  <si>
    <t>02-14-2026</t>
  </si>
  <si>
    <t>City of temple terrace-fire station #01</t>
  </si>
  <si>
    <t>Lift - 1 Verticals and Bond beams</t>
  </si>
  <si>
    <t>Low Roof beams &amp; Slab</t>
  </si>
  <si>
    <t>Lift - 2 Verticals, Bond beams &amp; Roof beams</t>
  </si>
  <si>
    <t>02-19-2026</t>
  </si>
  <si>
    <t>Siva Kumar</t>
  </si>
  <si>
    <t>Lift - 1 Verticals and Beams</t>
  </si>
  <si>
    <t>Blue Water Cove 6</t>
  </si>
  <si>
    <t>Foundations &amp; slab on grade</t>
  </si>
  <si>
    <t>Lift-1 &amp; 2 Verticals, 2nd floor slab, &amp; Roof beams</t>
  </si>
  <si>
    <t>03-18-2026</t>
  </si>
  <si>
    <t>Blue Water Cove 3</t>
  </si>
  <si>
    <t>Lift - 1 Verticals and Roof beams</t>
  </si>
  <si>
    <t>03-16-2026</t>
  </si>
  <si>
    <t>02-17-2026</t>
  </si>
  <si>
    <t>Level - 1 Foundations</t>
  </si>
  <si>
    <t>Basement Walls</t>
  </si>
  <si>
    <t>Basement Foundations</t>
  </si>
  <si>
    <t>Lift - 1 Verticals</t>
  </si>
  <si>
    <t>03-28-2026</t>
  </si>
  <si>
    <t>Roof beams</t>
  </si>
  <si>
    <t>03-31-2026</t>
  </si>
  <si>
    <t>Lift - 2 Verticals</t>
  </si>
  <si>
    <t>Lift - 1 Beams</t>
  </si>
  <si>
    <t>Lift - 1 Verticals and beams</t>
  </si>
  <si>
    <t>Lift - 3 Verticals and High Roof slab &amp; beams</t>
  </si>
  <si>
    <t>Lift - 2 Verticals and Low Roof slab &amp; beams</t>
  </si>
  <si>
    <t>Lift - 2 Verticals &amp; Roof beams</t>
  </si>
  <si>
    <t>03-21-2026</t>
  </si>
  <si>
    <t>BOKOR 432 SUNSHINE BLVD</t>
  </si>
  <si>
    <t>03-13-2026</t>
  </si>
  <si>
    <t>143 Reef Road</t>
  </si>
  <si>
    <t>Lift - 1 Beams &amp; 2nd floor slab</t>
  </si>
  <si>
    <t>1050 N Lake way</t>
  </si>
  <si>
    <t>02-23-2026</t>
  </si>
  <si>
    <t>Lift - 2 Verticals and beams</t>
  </si>
  <si>
    <t>Not Yet Started</t>
  </si>
  <si>
    <t>Footings &amp; Stem Walls</t>
  </si>
  <si>
    <t>Stem wall &amp; Slab on grade</t>
  </si>
  <si>
    <t>02-20-2026</t>
  </si>
  <si>
    <t>03-11.-2026</t>
  </si>
  <si>
    <t>03-20.-2026</t>
  </si>
  <si>
    <t>03-24-2026</t>
  </si>
  <si>
    <t xml:space="preserve">Basement Foundations </t>
  </si>
  <si>
    <t>Lift - 1 Verticals &amp; roof beams</t>
  </si>
  <si>
    <t>Retaining wall &amp; Planter walls &amp; stairs</t>
  </si>
  <si>
    <t>04-21-2026</t>
  </si>
  <si>
    <t>04-18-2026</t>
  </si>
  <si>
    <t>Lift - 2 Verticals and Beams</t>
  </si>
  <si>
    <t>5900 Powerline Garage</t>
  </si>
  <si>
    <t>04-20-2026</t>
  </si>
  <si>
    <t>Lift - 1 Verticals and Roof Beams</t>
  </si>
  <si>
    <t>Lift - 1 Verticals, 2nd Floor slab &amp; beams</t>
  </si>
  <si>
    <t>50 SE OLIVE</t>
  </si>
  <si>
    <t>Foundations &amp; columns</t>
  </si>
  <si>
    <t>Bond beams</t>
  </si>
  <si>
    <t>03-26-2026</t>
  </si>
  <si>
    <t>Balaram/Jagadeesh</t>
  </si>
  <si>
    <t>04-24-2026</t>
  </si>
  <si>
    <t>04-27-2026</t>
  </si>
  <si>
    <t>04-23-2026</t>
  </si>
  <si>
    <t>Monument walls</t>
  </si>
  <si>
    <t>3rd Floor tie beams</t>
  </si>
  <si>
    <t>04-22-2026</t>
  </si>
  <si>
    <t>Lokesh/vaishnavi</t>
  </si>
  <si>
    <t>6017 Le Lac Road (Weiner Residence)</t>
  </si>
  <si>
    <t xml:space="preserve">Foundations and slab on grade (East Garage) </t>
  </si>
  <si>
    <t xml:space="preserve">Lift - 1 Verticals and Roof beams (East Garage) </t>
  </si>
  <si>
    <t xml:space="preserve">Foundations and slab on grade (Main Building) </t>
  </si>
  <si>
    <t xml:space="preserve">Lift - 1 Verticals, 2nd floor slab and beams (Main Building) </t>
  </si>
  <si>
    <t>Lift - 2 Verticals and roof beams</t>
  </si>
  <si>
    <t>Lift - 2 Verticals and roof beams (Main Building)</t>
  </si>
  <si>
    <t>Foundations and slab on grade (2-story residence)</t>
  </si>
  <si>
    <t>Lift - 1 Verticals, 2nd floor slab and beams (2-story residence)</t>
  </si>
  <si>
    <t>Lift - 2 Verticals and roof beams (2-story residence)</t>
  </si>
  <si>
    <t>Foundations and slab on grade (site work)</t>
  </si>
  <si>
    <t>03-25-2026</t>
  </si>
  <si>
    <t>Lift - 1 Verticals, 2nd floor slab and beams</t>
  </si>
  <si>
    <t>6024 Lelac Rd</t>
  </si>
  <si>
    <t>Lift - 1 Verticals, loft floor slab &amp; beams</t>
  </si>
  <si>
    <t>Foundations &amp; slab on grade (Summer kitchen)</t>
  </si>
  <si>
    <t>Lift - 1 Verticals, slab and beams (Summer kitchen)</t>
  </si>
  <si>
    <t>SW Ranches</t>
  </si>
  <si>
    <t>Lower Roof Deck</t>
  </si>
  <si>
    <t xml:space="preserve">Lift - 1 Verticals </t>
  </si>
  <si>
    <t>Project management</t>
  </si>
  <si>
    <t>Estimations and rebar detailing</t>
  </si>
  <si>
    <t>Rebar Detailing</t>
  </si>
  <si>
    <t>Rebar Detailing/QC</t>
  </si>
  <si>
    <t>05/04/2026 to 05/09/2026</t>
  </si>
  <si>
    <t>Sridivi/Nanaji</t>
  </si>
  <si>
    <t>Nanaji/pradeep</t>
  </si>
  <si>
    <t>Lokesh</t>
  </si>
  <si>
    <t>Vaishnavi/Shiva</t>
  </si>
  <si>
    <t>2651 Southcast 10th court</t>
  </si>
  <si>
    <t>Pool deck slab and beams</t>
  </si>
  <si>
    <t>2nd Floor slab</t>
  </si>
  <si>
    <t>Tennis &amp; Bocce Courts Restrooms</t>
  </si>
  <si>
    <t>Country inn Pet Resort</t>
  </si>
  <si>
    <t>Nanaji/Sridevi</t>
  </si>
  <si>
    <t>CLIENT SUB. DATE</t>
  </si>
  <si>
    <t>Vaishnavi/Sridevi</t>
  </si>
  <si>
    <t>5900 Powerline Garag</t>
  </si>
  <si>
    <t>Slab on grade, Lift - 1 Verticals and Roof beams</t>
  </si>
  <si>
    <t>Grade beams</t>
  </si>
  <si>
    <t>Licata Residence 2726 Appaloosa trail</t>
  </si>
  <si>
    <t>Lift - 1  slab &amp; Beams</t>
  </si>
  <si>
    <t>Lift - 1 Verticals and beams (pour-1)</t>
  </si>
  <si>
    <t>Lift - 1 Verticals and beams (pour-2)</t>
  </si>
  <si>
    <t>05-15-2026</t>
  </si>
  <si>
    <t>2960 Greenbriair</t>
  </si>
  <si>
    <t>Gallery at Somi Parc Phase 1</t>
  </si>
  <si>
    <t>Lift - 1 verticals and beams</t>
  </si>
  <si>
    <t>Lift - 2 verticals and beams</t>
  </si>
  <si>
    <t>05-22-2026</t>
  </si>
  <si>
    <t>06-19-2026</t>
  </si>
  <si>
    <t>06-26-2026</t>
  </si>
  <si>
    <t>05-18-2026</t>
  </si>
  <si>
    <t>6007 Le Lac (Furing residence)</t>
  </si>
  <si>
    <t>Foundations &amp; Walls (scope added)</t>
  </si>
  <si>
    <t>O.B. (Scattered Lots)</t>
  </si>
  <si>
    <t>90 Stingaree</t>
  </si>
  <si>
    <t>840 Denery Ln. Residence</t>
  </si>
  <si>
    <t>05-16-2026</t>
  </si>
  <si>
    <t>05-21-2026</t>
  </si>
  <si>
    <t>Foundaitons &amp; sog.</t>
  </si>
  <si>
    <t>2nd floor slab &amp; Beams</t>
  </si>
  <si>
    <t>Lift-2 verticals &amp; Roof beams</t>
  </si>
  <si>
    <t>ESWAR</t>
  </si>
  <si>
    <t>05-19-2026</t>
  </si>
  <si>
    <t>job canceled</t>
  </si>
  <si>
    <t>Lift - 1 verticals</t>
  </si>
  <si>
    <t>Foundations (Garage)</t>
  </si>
  <si>
    <t>Slab on grade (Garage)</t>
  </si>
  <si>
    <t>Columns (Garage)</t>
  </si>
  <si>
    <t>Shear walls (Garage)</t>
  </si>
  <si>
    <t>2nd Floor slab (Garage)</t>
  </si>
  <si>
    <t>3rd Floor slab (Garage)</t>
  </si>
  <si>
    <t>4th Floor slab (Garage)</t>
  </si>
  <si>
    <t>5th Floor slab (Garage)</t>
  </si>
  <si>
    <t>6th Floor slab (Garage)</t>
  </si>
  <si>
    <t>2nd Floor slab (Residential)</t>
  </si>
  <si>
    <t>3rd Floor slab (Residential)</t>
  </si>
  <si>
    <t>4th Floor slab (Residential)</t>
  </si>
  <si>
    <t>5th Floor slab (Residential)</t>
  </si>
  <si>
    <t>6th Floor slab (Residential)</t>
  </si>
  <si>
    <t>7th Floor slab (Residential)</t>
  </si>
  <si>
    <t>8th Floor slab (Residential)</t>
  </si>
  <si>
    <t>9th Floor slab (Residential)</t>
  </si>
  <si>
    <t>10th Floor slab (Residential)</t>
  </si>
  <si>
    <t xml:space="preserve">11th Floor slab (Residential) </t>
  </si>
  <si>
    <t>12th Floor slab (Residential)</t>
  </si>
  <si>
    <t>13th Floor slab (Residential)</t>
  </si>
  <si>
    <t>14th Floor slab (Residential)</t>
  </si>
  <si>
    <t>15th floor slab (Residential)</t>
  </si>
  <si>
    <t>Roof Floor slab (Residential)</t>
  </si>
  <si>
    <t>Nuvo</t>
  </si>
  <si>
    <t>Bldg. Type 1 (A, C, D &amp; G)</t>
  </si>
  <si>
    <t>Elevator Pits &amp; Stairs, Bg Thru 1st lift</t>
  </si>
  <si>
    <t>2nd Flr. Thru 2nd lift &amp; 2nd floor beams</t>
  </si>
  <si>
    <t>3rd Flr. Thru 3rd lift &amp; 3rd floor beams</t>
  </si>
  <si>
    <t>4th Flr. Thru Roof &amp; Abv Roof beams</t>
  </si>
  <si>
    <t>Bldg. Type 2 (E &amp; H)</t>
  </si>
  <si>
    <t>Bldg. Type 3 (B &amp; F)</t>
  </si>
  <si>
    <t>Bus Shelter - Footings</t>
  </si>
  <si>
    <t>Bg Thru 1st lift</t>
  </si>
  <si>
    <t>Clubhouse</t>
  </si>
  <si>
    <t>Bg Thru Abv Roof beams</t>
  </si>
  <si>
    <t>Garage Type 1</t>
  </si>
  <si>
    <t>Garage Type 2</t>
  </si>
  <si>
    <t>Mail Kiosk - Slab on grade</t>
  </si>
  <si>
    <t>Trash Compactor</t>
  </si>
  <si>
    <t>Pool Pavilion</t>
  </si>
  <si>
    <t>Bg Thru Roof beams</t>
  </si>
  <si>
    <t>Raised Planters</t>
  </si>
  <si>
    <t>BBQ Station</t>
  </si>
  <si>
    <t>Cabana Footings</t>
  </si>
  <si>
    <t>Trellis Footings</t>
  </si>
  <si>
    <t>Retaining Wall</t>
  </si>
  <si>
    <t>07-24-2026</t>
  </si>
  <si>
    <t>07-17-2026</t>
  </si>
  <si>
    <t>05/26/26</t>
  </si>
  <si>
    <t>The Syed Residence</t>
  </si>
  <si>
    <t>Foundations &amp; Slab on grade</t>
  </si>
  <si>
    <t>810 S Swinton Ave Residence</t>
  </si>
  <si>
    <t xml:space="preserve">Lift - 2 verticals and beams </t>
  </si>
  <si>
    <t>05-23-2026</t>
  </si>
  <si>
    <t>05-27-2026</t>
  </si>
  <si>
    <t>05-28-2026</t>
  </si>
  <si>
    <t>Foundaitons &amp; Slab on grade</t>
  </si>
  <si>
    <t>Lift - 1 verticals and bond beams</t>
  </si>
  <si>
    <t>2nd floor slab &amp; beams</t>
  </si>
  <si>
    <t>05-30-2026</t>
  </si>
  <si>
    <t>Lift - 2 verticals and bond beams</t>
  </si>
  <si>
    <t>siav kumar</t>
  </si>
  <si>
    <t>eswar/siav kumar</t>
  </si>
  <si>
    <t>Lift - 1 Verticals and beams (pour-3) &amp; (pour-4)</t>
  </si>
  <si>
    <t>Lift - 2 Verticals and beams (pour-2)</t>
  </si>
  <si>
    <t>Lift - 2 Verticals and beams (pour-1)</t>
  </si>
  <si>
    <t>Monument sign</t>
  </si>
  <si>
    <t>Custom Residence (134 Worth CTN)</t>
  </si>
  <si>
    <t xml:space="preserve">Foundations </t>
  </si>
  <si>
    <t>05-29-2026</t>
  </si>
  <si>
    <t>06-17-2026</t>
  </si>
  <si>
    <t>Balaram</t>
  </si>
  <si>
    <t>Rancano</t>
  </si>
  <si>
    <t>Lift - 1 verticals and Roof beams</t>
  </si>
  <si>
    <t>799 Park Drive</t>
  </si>
  <si>
    <t>06-13-2026</t>
  </si>
  <si>
    <t>06-23-2026</t>
  </si>
  <si>
    <t>06-15-2026</t>
  </si>
  <si>
    <t>06-16-2026</t>
  </si>
  <si>
    <t>Eswar/Nanaji</t>
  </si>
  <si>
    <t>Praveena/Sridevi</t>
  </si>
  <si>
    <t>Columns (Residential) lift - 1 verticals</t>
  </si>
  <si>
    <t>Shear walls (Residential)  lift - 1 verticals</t>
  </si>
  <si>
    <t>Cmu walls lift - 1 verticals</t>
  </si>
  <si>
    <t>Shear walls (Residential)  lift - 2 verticals</t>
  </si>
  <si>
    <t>Cmu walls lift - 2 verticals</t>
  </si>
  <si>
    <t>Columns (Residential) lift - 3 verticals</t>
  </si>
  <si>
    <t>Columns (Residential) lift - 2 verticals</t>
  </si>
  <si>
    <t>Cmu walls lift - 3 verticals</t>
  </si>
  <si>
    <t>Shear walls (Residential)  lift - 3 verticals</t>
  </si>
  <si>
    <t>Columns (Residential) lift - 4 verticals</t>
  </si>
  <si>
    <t>Shear walls (Residential)  lift - 4 verticals</t>
  </si>
  <si>
    <t>Cmu walls lift - 4 verticals</t>
  </si>
  <si>
    <t>Columns (Residential) lift - 5 verticals</t>
  </si>
  <si>
    <t>Shear walls (Residential)  lift - 5 verticals</t>
  </si>
  <si>
    <t>Cmu walls lift - 5 verticals</t>
  </si>
  <si>
    <t>Columns (Residential) lift - 6 verticals</t>
  </si>
  <si>
    <t>Shear walls (Residential)  lift - 6 verticals</t>
  </si>
  <si>
    <t>Cmu walls lift - 6 verticals</t>
  </si>
  <si>
    <t>Columns (Residential) lift - 7 verticals</t>
  </si>
  <si>
    <t>Shear walls (Residential)  lift - 7 verticals</t>
  </si>
  <si>
    <t>Cmu walls lift - 7 verticals</t>
  </si>
  <si>
    <t>Columns (Residential) lift - 8 verticals</t>
  </si>
  <si>
    <t>Shear walls (Residential)  lift - 8 verticals</t>
  </si>
  <si>
    <t>Cmu walls lift - 8 verticals</t>
  </si>
  <si>
    <t>Columns (Residential) lift - 9 verticals</t>
  </si>
  <si>
    <t>Shear walls (Residential)  lift - 9 verticals</t>
  </si>
  <si>
    <t>Cmu walls lift - 9 verticals</t>
  </si>
  <si>
    <t>Columns (Residential) lift - 10 verticals</t>
  </si>
  <si>
    <t>Shear walls (Residential)  lift - 10 verticals</t>
  </si>
  <si>
    <t>Cmu walls lift - 10 verticals</t>
  </si>
  <si>
    <t>Columns (Residential) lift - 11 verticals</t>
  </si>
  <si>
    <t>Shear walls (Residential)  lift - 11 verticals</t>
  </si>
  <si>
    <t>Cmu walls lift - 11 verticals</t>
  </si>
  <si>
    <t>Columns (Residential) lift - 12 verticals</t>
  </si>
  <si>
    <t>Shear walls (Residential)  lift - 12 verticals</t>
  </si>
  <si>
    <t>Cmu walls lift - 12 verticals</t>
  </si>
  <si>
    <t>Columns (Residential) lift - 13 verticals</t>
  </si>
  <si>
    <t>Shear walls (Residential)  lift - 13 verticals</t>
  </si>
  <si>
    <t>Cmu walls lift - 13 verticals</t>
  </si>
  <si>
    <t>Columns (Residential) lift - 14 verticals</t>
  </si>
  <si>
    <t>Shear walls (Residential)  lift - 14 verticals</t>
  </si>
  <si>
    <t>Cmu walls lift - 14 verticals</t>
  </si>
  <si>
    <t>Columns (Residential) lift - 15 verticals</t>
  </si>
  <si>
    <t>Shear walls (Residential)  lift - 15 verticals</t>
  </si>
  <si>
    <t>Cmu walls lift - 15 verticals</t>
  </si>
  <si>
    <t>Columns (Residential) lift - 16 verticals</t>
  </si>
  <si>
    <t>Shear walls (Residential)  lift - 16 verticals</t>
  </si>
  <si>
    <t>Cmu walls lift - 16 verticals</t>
  </si>
  <si>
    <t>Parapet walls (Residential) verticals</t>
  </si>
  <si>
    <t>Chateau De La Duchess (925 Hillsboro)</t>
  </si>
  <si>
    <t>Entry Garages foundations and slab on grade</t>
  </si>
  <si>
    <t>Entry Garages lift - 1 verticals and beams</t>
  </si>
  <si>
    <t>Entry Garages lift - 2 verticals and beams</t>
  </si>
  <si>
    <t>06-18-2026</t>
  </si>
  <si>
    <t>Cabana slab on grade</t>
  </si>
  <si>
    <t>Pavan sai</t>
  </si>
  <si>
    <t>Lift - 2 Verticals and beams (pour-3)</t>
  </si>
  <si>
    <t>Masucci Residence</t>
  </si>
  <si>
    <t>2nd floor slab and beams</t>
  </si>
  <si>
    <t>06-20-2026</t>
  </si>
  <si>
    <t>The Bueller family</t>
  </si>
  <si>
    <t>SPOTLOT 28810 SW 207 AVE</t>
  </si>
  <si>
    <t>Broken Sound Club</t>
  </si>
  <si>
    <t>Updated drawings received (Cantilever Beams)</t>
  </si>
  <si>
    <t>Foundations (Residential) part - 2</t>
  </si>
  <si>
    <t>Foundations (Residential) part - 1</t>
  </si>
  <si>
    <t>Slab on grade (Residential) part - 1 &amp; 2</t>
  </si>
  <si>
    <t>06-25-2026</t>
  </si>
  <si>
    <t>Chandra mouli</t>
  </si>
  <si>
    <t>eswar</t>
  </si>
  <si>
    <t>128 Worth CT N</t>
  </si>
  <si>
    <t>2235 Mangolia Drive</t>
  </si>
  <si>
    <t>Lift - 1 verticals, beams and 2nd floor slab</t>
  </si>
  <si>
    <t>Lift - 2 verticals and roof beams</t>
  </si>
  <si>
    <t>Sai</t>
  </si>
  <si>
    <t>Sai/Nanaji</t>
  </si>
  <si>
    <t>Lokesh/Nanaji</t>
  </si>
  <si>
    <t>Lokesh/Sridevi</t>
  </si>
  <si>
    <t>Siva Kumar/sridevi</t>
  </si>
  <si>
    <t>Lokesh/Siva Kumar</t>
  </si>
  <si>
    <t>White Cap PROJECT STATUS</t>
  </si>
  <si>
    <t>Tasks</t>
  </si>
  <si>
    <t>Dhanush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</si>
</sst>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b/>
      <sz val="11"/>
      <name val="Calibri"/>
      <family val="2"/>
    </font>
    <font>
      <b/>
      <sz val="22"/>
      <color rgb="FF002060"/>
      <name val="Calibri"/>
      <family val="2"/>
      <charset val="1"/>
    </font>
    <font>
      <b/>
      <sz val="12"/>
      <color rgb="FF002060"/>
      <name val="Calibri"/>
      <family val="2"/>
      <charset val="1"/>
    </font>
    <font>
      <b/>
      <sz val="11"/>
      <color rgb="FF00B050"/>
      <name val="Calibri"/>
      <family val="2"/>
    </font>
    <font>
      <b/>
      <sz val="11"/>
      <color rgb="FFFF0000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33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9CC00"/>
        <bgColor rgb="FFA9D18E"/>
      </patternFill>
    </fill>
    <fill>
      <patternFill patternType="solid">
        <fgColor rgb="FFE2F0D9"/>
        <bgColor rgb="FFDDDDDD"/>
      </patternFill>
    </fill>
    <fill>
      <patternFill patternType="solid">
        <fgColor rgb="FFFFFFFF"/>
        <bgColor rgb="FFFFFFCC"/>
      </patternFill>
    </fill>
    <fill>
      <patternFill patternType="solid">
        <fgColor theme="0"/>
        <bgColor rgb="FFDDDDDD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 style="double">
        <color theme="4"/>
      </bottom>
      <diagonal/>
    </border>
    <border>
      <left/>
      <right/>
      <top style="medium">
        <color indexed="64"/>
      </top>
      <bottom style="double">
        <color theme="4"/>
      </bottom>
      <diagonal/>
    </border>
    <border>
      <left/>
      <right style="medium">
        <color indexed="64"/>
      </right>
      <top style="medium">
        <color indexed="64"/>
      </top>
      <bottom style="double">
        <color theme="4"/>
      </bottom>
      <diagonal/>
    </border>
    <border>
      <left/>
      <right/>
      <top style="thin">
        <color theme="4"/>
      </top>
      <bottom style="medium">
        <color indexed="64"/>
      </bottom>
      <diagonal/>
    </border>
    <border>
      <left/>
      <right style="medium">
        <color indexed="64"/>
      </right>
      <top style="thin">
        <color theme="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double">
        <color theme="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medium">
        <color indexed="64"/>
      </left>
      <right/>
      <top style="double">
        <color theme="4"/>
      </top>
      <bottom style="medium">
        <color indexed="64"/>
      </bottom>
      <diagonal/>
    </border>
  </borders>
  <cellStyleXfs count="3">
    <xf numFmtId="0" fontId="0" fillId="0" borderId="0"/>
    <xf numFmtId="0" fontId="4" fillId="0" borderId="12" applyNumberFormat="0" applyFill="0" applyAlignment="0" applyProtection="0"/>
    <xf numFmtId="0" fontId="5" fillId="0" borderId="1"/>
  </cellStyleXfs>
  <cellXfs count="103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1" fillId="0" borderId="1" xfId="0" applyFont="1" applyBorder="1"/>
    <xf numFmtId="0" fontId="1" fillId="0" borderId="0" xfId="0" applyFont="1"/>
    <xf numFmtId="0" fontId="3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" fillId="6" borderId="14" xfId="1" applyFill="1" applyBorder="1" applyAlignment="1">
      <alignment horizontal="center"/>
    </xf>
    <xf numFmtId="0" fontId="4" fillId="6" borderId="14" xfId="1" applyFill="1" applyBorder="1"/>
    <xf numFmtId="0" fontId="4" fillId="6" borderId="15" xfId="1" applyFill="1" applyBorder="1" applyAlignment="1">
      <alignment horizontal="center"/>
    </xf>
    <xf numFmtId="0" fontId="4" fillId="6" borderId="16" xfId="1" applyFill="1" applyBorder="1" applyAlignment="1">
      <alignment horizontal="center" vertical="center"/>
    </xf>
    <xf numFmtId="0" fontId="4" fillId="6" borderId="17" xfId="1" applyFill="1" applyBorder="1" applyAlignment="1">
      <alignment horizontal="center" vertical="center"/>
    </xf>
    <xf numFmtId="0" fontId="0" fillId="7" borderId="1" xfId="0" applyFill="1" applyBorder="1" applyAlignment="1">
      <alignment horizontal="center"/>
    </xf>
    <xf numFmtId="0" fontId="0" fillId="0" borderId="1" xfId="0" quotePrefix="1" applyBorder="1" applyAlignment="1">
      <alignment horizontal="center" vertical="center"/>
    </xf>
    <xf numFmtId="0" fontId="0" fillId="0" borderId="3" xfId="0" applyBorder="1"/>
    <xf numFmtId="0" fontId="0" fillId="0" borderId="19" xfId="0" applyBorder="1" applyAlignment="1">
      <alignment horizontal="center" vertical="center"/>
    </xf>
    <xf numFmtId="0" fontId="4" fillId="6" borderId="14" xfId="1" applyFill="1" applyBorder="1" applyAlignment="1"/>
    <xf numFmtId="0" fontId="6" fillId="0" borderId="1" xfId="0" applyFont="1" applyBorder="1" applyAlignment="1">
      <alignment horizontal="left" vertical="center"/>
    </xf>
    <xf numFmtId="0" fontId="7" fillId="8" borderId="1" xfId="0" applyFont="1" applyFill="1" applyBorder="1" applyAlignment="1">
      <alignment horizontal="left" vertical="center" wrapText="1"/>
    </xf>
    <xf numFmtId="0" fontId="7" fillId="0" borderId="21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7" fillId="8" borderId="21" xfId="0" applyFont="1" applyFill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3" fillId="5" borderId="22" xfId="0" applyFont="1" applyFill="1" applyBorder="1" applyAlignment="1">
      <alignment horizontal="center" vertical="center"/>
    </xf>
    <xf numFmtId="0" fontId="4" fillId="5" borderId="1" xfId="0" applyFont="1" applyFill="1" applyBorder="1"/>
    <xf numFmtId="0" fontId="0" fillId="0" borderId="1" xfId="0" applyBorder="1" applyAlignment="1">
      <alignment horizontal="left" vertical="top"/>
    </xf>
    <xf numFmtId="0" fontId="0" fillId="0" borderId="0" xfId="0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11" fillId="10" borderId="27" xfId="0" applyFont="1" applyFill="1" applyBorder="1" applyAlignment="1">
      <alignment horizontal="center" vertical="center"/>
    </xf>
    <xf numFmtId="0" fontId="11" fillId="10" borderId="27" xfId="0" applyFont="1" applyFill="1" applyBorder="1" applyAlignment="1">
      <alignment horizontal="center" vertical="center" wrapText="1"/>
    </xf>
    <xf numFmtId="14" fontId="11" fillId="10" borderId="27" xfId="0" applyNumberFormat="1" applyFont="1" applyFill="1" applyBorder="1" applyAlignment="1">
      <alignment horizontal="center" vertical="center" wrapText="1"/>
    </xf>
    <xf numFmtId="0" fontId="11" fillId="10" borderId="5" xfId="0" applyFont="1" applyFill="1" applyBorder="1" applyAlignment="1">
      <alignment horizontal="left" vertical="center"/>
    </xf>
    <xf numFmtId="0" fontId="11" fillId="10" borderId="5" xfId="0" applyFont="1" applyFill="1" applyBorder="1" applyAlignment="1">
      <alignment horizontal="center" vertical="center" wrapText="1"/>
    </xf>
    <xf numFmtId="49" fontId="11" fillId="10" borderId="5" xfId="0" applyNumberFormat="1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left" vertical="center"/>
    </xf>
    <xf numFmtId="14" fontId="7" fillId="11" borderId="1" xfId="0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49" fontId="7" fillId="12" borderId="21" xfId="0" applyNumberFormat="1" applyFont="1" applyFill="1" applyBorder="1" applyAlignment="1">
      <alignment horizontal="center" vertical="center"/>
    </xf>
    <xf numFmtId="0" fontId="9" fillId="10" borderId="1" xfId="0" applyFont="1" applyFill="1" applyBorder="1" applyAlignment="1">
      <alignment horizontal="left" vertical="center"/>
    </xf>
    <xf numFmtId="0" fontId="7" fillId="10" borderId="1" xfId="0" applyFont="1" applyFill="1" applyBorder="1" applyAlignment="1">
      <alignment horizontal="left" vertical="center"/>
    </xf>
    <xf numFmtId="14" fontId="9" fillId="10" borderId="1" xfId="0" applyNumberFormat="1" applyFont="1" applyFill="1" applyBorder="1" applyAlignment="1">
      <alignment horizontal="center" vertical="center"/>
    </xf>
    <xf numFmtId="14" fontId="9" fillId="10" borderId="1" xfId="0" applyNumberFormat="1" applyFont="1" applyFill="1" applyBorder="1" applyAlignment="1">
      <alignment horizontal="center" vertical="center" wrapText="1"/>
    </xf>
    <xf numFmtId="0" fontId="7" fillId="10" borderId="1" xfId="0" applyFont="1" applyFill="1" applyBorder="1" applyAlignment="1">
      <alignment horizontal="center" vertical="center"/>
    </xf>
    <xf numFmtId="49" fontId="7" fillId="10" borderId="1" xfId="0" applyNumberFormat="1" applyFont="1" applyFill="1" applyBorder="1" applyAlignment="1">
      <alignment horizontal="center" vertical="center"/>
    </xf>
    <xf numFmtId="0" fontId="9" fillId="10" borderId="3" xfId="0" applyFont="1" applyFill="1" applyBorder="1" applyAlignment="1">
      <alignment horizontal="left" vertical="center"/>
    </xf>
    <xf numFmtId="49" fontId="7" fillId="10" borderId="21" xfId="0" applyNumberFormat="1" applyFont="1" applyFill="1" applyBorder="1" applyAlignment="1">
      <alignment horizontal="center" vertical="center"/>
    </xf>
    <xf numFmtId="0" fontId="7" fillId="10" borderId="18" xfId="0" applyFont="1" applyFill="1" applyBorder="1" applyAlignment="1">
      <alignment horizontal="center" vertical="center"/>
    </xf>
    <xf numFmtId="0" fontId="7" fillId="10" borderId="18" xfId="0" applyFont="1" applyFill="1" applyBorder="1" applyAlignment="1">
      <alignment horizontal="left" vertical="center"/>
    </xf>
    <xf numFmtId="0" fontId="9" fillId="10" borderId="18" xfId="0" applyFont="1" applyFill="1" applyBorder="1" applyAlignment="1">
      <alignment horizontal="left" vertical="center"/>
    </xf>
    <xf numFmtId="14" fontId="9" fillId="10" borderId="18" xfId="0" applyNumberFormat="1" applyFont="1" applyFill="1" applyBorder="1" applyAlignment="1">
      <alignment horizontal="center" vertical="center"/>
    </xf>
    <xf numFmtId="14" fontId="9" fillId="10" borderId="18" xfId="0" applyNumberFormat="1" applyFont="1" applyFill="1" applyBorder="1" applyAlignment="1">
      <alignment horizontal="center" vertical="center" wrapText="1"/>
    </xf>
    <xf numFmtId="14" fontId="7" fillId="10" borderId="18" xfId="0" applyNumberFormat="1" applyFont="1" applyFill="1" applyBorder="1" applyAlignment="1">
      <alignment horizontal="center" vertical="center"/>
    </xf>
    <xf numFmtId="49" fontId="7" fillId="10" borderId="18" xfId="0" applyNumberFormat="1" applyFont="1" applyFill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49" fontId="7" fillId="12" borderId="1" xfId="0" applyNumberFormat="1" applyFont="1" applyFill="1" applyBorder="1" applyAlignment="1">
      <alignment horizontal="center" vertical="center"/>
    </xf>
    <xf numFmtId="14" fontId="7" fillId="0" borderId="1" xfId="0" applyNumberFormat="1" applyFont="1" applyBorder="1" applyAlignment="1">
      <alignment horizontal="center" vertical="center"/>
    </xf>
    <xf numFmtId="49" fontId="7" fillId="0" borderId="1" xfId="0" applyNumberFormat="1" applyFont="1" applyBorder="1" applyAlignment="1">
      <alignment horizontal="center" vertical="center"/>
    </xf>
    <xf numFmtId="0" fontId="7" fillId="0" borderId="18" xfId="0" applyFont="1" applyBorder="1" applyAlignment="1">
      <alignment horizontal="left" vertical="center"/>
    </xf>
    <xf numFmtId="0" fontId="7" fillId="8" borderId="18" xfId="0" applyFont="1" applyFill="1" applyBorder="1" applyAlignment="1">
      <alignment horizontal="left" vertical="center"/>
    </xf>
    <xf numFmtId="14" fontId="7" fillId="11" borderId="18" xfId="0" applyNumberFormat="1" applyFont="1" applyFill="1" applyBorder="1" applyAlignment="1">
      <alignment horizontal="center" vertical="center"/>
    </xf>
    <xf numFmtId="14" fontId="12" fillId="11" borderId="1" xfId="0" applyNumberFormat="1" applyFont="1" applyFill="1" applyBorder="1" applyAlignment="1">
      <alignment horizontal="center" vertical="center"/>
    </xf>
    <xf numFmtId="14" fontId="7" fillId="0" borderId="18" xfId="0" applyNumberFormat="1" applyFont="1" applyBorder="1" applyAlignment="1">
      <alignment horizontal="center" vertical="center"/>
    </xf>
    <xf numFmtId="49" fontId="7" fillId="0" borderId="18" xfId="0" applyNumberFormat="1" applyFont="1" applyBorder="1" applyAlignment="1">
      <alignment horizontal="center" vertical="center"/>
    </xf>
    <xf numFmtId="14" fontId="13" fillId="11" borderId="1" xfId="0" applyNumberFormat="1" applyFont="1" applyFill="1" applyBorder="1" applyAlignment="1">
      <alignment horizontal="center" vertical="center"/>
    </xf>
    <xf numFmtId="14" fontId="9" fillId="11" borderId="1" xfId="0" applyNumberFormat="1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0" fillId="9" borderId="23" xfId="0" applyFont="1" applyFill="1" applyBorder="1" applyAlignment="1">
      <alignment horizontal="center" vertical="center"/>
    </xf>
    <xf numFmtId="0" fontId="10" fillId="9" borderId="24" xfId="0" applyFont="1" applyFill="1" applyBorder="1" applyAlignment="1">
      <alignment horizontal="center" vertical="center"/>
    </xf>
    <xf numFmtId="0" fontId="10" fillId="9" borderId="25" xfId="0" applyFont="1" applyFill="1" applyBorder="1" applyAlignment="1">
      <alignment horizontal="center" vertical="center"/>
    </xf>
    <xf numFmtId="0" fontId="10" fillId="9" borderId="26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14" fontId="3" fillId="3" borderId="1" xfId="0" applyNumberFormat="1" applyFont="1" applyFill="1" applyBorder="1" applyAlignment="1">
      <alignment horizontal="center" vertical="center"/>
    </xf>
    <xf numFmtId="14" fontId="3" fillId="3" borderId="8" xfId="0" applyNumberFormat="1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/>
    </xf>
    <xf numFmtId="0" fontId="4" fillId="5" borderId="2" xfId="0" applyFont="1" applyFill="1" applyBorder="1" applyAlignment="1">
      <alignment horizontal="center"/>
    </xf>
    <xf numFmtId="0" fontId="4" fillId="5" borderId="3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1" fillId="5" borderId="18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4" fillId="5" borderId="9" xfId="0" applyFont="1" applyFill="1" applyBorder="1" applyAlignment="1">
      <alignment horizontal="center"/>
    </xf>
    <xf numFmtId="0" fontId="4" fillId="5" borderId="10" xfId="0" applyFont="1" applyFill="1" applyBorder="1" applyAlignment="1">
      <alignment horizontal="center"/>
    </xf>
    <xf numFmtId="0" fontId="4" fillId="5" borderId="11" xfId="0" applyFont="1" applyFill="1" applyBorder="1" applyAlignment="1">
      <alignment horizontal="center"/>
    </xf>
    <xf numFmtId="0" fontId="4" fillId="6" borderId="13" xfId="1" applyFill="1" applyBorder="1" applyAlignment="1">
      <alignment horizontal="center"/>
    </xf>
    <xf numFmtId="0" fontId="4" fillId="6" borderId="14" xfId="1" applyFill="1" applyBorder="1" applyAlignment="1">
      <alignment horizontal="center"/>
    </xf>
    <xf numFmtId="0" fontId="4" fillId="6" borderId="20" xfId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4" fillId="6" borderId="28" xfId="1" applyFill="1" applyBorder="1" applyAlignment="1">
      <alignment horizontal="center"/>
    </xf>
    <xf numFmtId="0" fontId="4" fillId="6" borderId="20" xfId="1" applyFill="1" applyBorder="1" applyAlignment="1">
      <alignment horizontal="center"/>
    </xf>
  </cellXfs>
  <cellStyles count="3">
    <cellStyle name="Normal" xfId="0" builtinId="0"/>
    <cellStyle name="Style 1" xfId="2" xr:uid="{00000000-0005-0000-0000-000001000000}"/>
    <cellStyle name="Total" xfId="1" builtinId="25"/>
  </cellStyles>
  <dxfs count="121">
    <dxf>
      <fill>
        <patternFill>
          <bgColor rgb="FFCCECFF"/>
        </patternFill>
      </fill>
    </dxf>
    <dxf>
      <fill>
        <patternFill>
          <bgColor rgb="FFCCECFF"/>
        </patternFill>
      </fill>
    </dxf>
    <dxf>
      <font>
        <strike val="0"/>
        <color rgb="FF00B05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auto="1"/>
      </font>
    </dxf>
    <dxf>
      <font>
        <strike val="0"/>
        <color rgb="FF00B05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auto="1"/>
      </font>
    </dxf>
    <dxf>
      <font>
        <strike val="0"/>
        <color rgb="FF00B05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auto="1"/>
      </font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ont>
        <strike val="0"/>
        <color rgb="FF00B05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auto="1"/>
      </font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ont>
        <strike val="0"/>
        <color rgb="FF00B05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auto="1"/>
      </font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ont>
        <strike val="0"/>
        <color rgb="FF00B05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auto="1"/>
      </font>
    </dxf>
    <dxf>
      <font>
        <strike val="0"/>
        <color rgb="FF00B050"/>
      </font>
    </dxf>
    <dxf>
      <font>
        <strike val="0"/>
        <color rgb="FFFF0000"/>
      </font>
    </dxf>
    <dxf>
      <fill>
        <patternFill>
          <bgColor rgb="FFCCECFF"/>
        </patternFill>
      </fill>
    </dxf>
    <dxf>
      <font>
        <strike val="0"/>
        <color rgb="FFFF0000"/>
      </font>
    </dxf>
    <dxf>
      <font>
        <strike val="0"/>
        <color auto="1"/>
      </font>
    </dxf>
    <dxf>
      <font>
        <strike val="0"/>
        <color rgb="FF00B050"/>
      </font>
    </dxf>
    <dxf>
      <font>
        <strike val="0"/>
        <color rgb="FFFF0000"/>
      </font>
    </dxf>
    <dxf>
      <font>
        <strike val="0"/>
        <color rgb="FF00B050"/>
      </font>
    </dxf>
    <dxf>
      <font>
        <strike val="0"/>
        <color rgb="FFFF0000"/>
      </font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0" formatCode="@"/>
      <fill>
        <patternFill patternType="solid">
          <fgColor rgb="FFDDDDDD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65" formatCode="mm/dd/yyyy"/>
      <fill>
        <patternFill patternType="solid">
          <fgColor rgb="FFFFFFCC"/>
          <bgColor rgb="FFFFFFFF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65" formatCode="mm/dd/yyyy"/>
      <fill>
        <patternFill patternType="solid">
          <fgColor rgb="FFFFFFCC"/>
          <bgColor rgb="FFFFFFFF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left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medium">
          <color auto="1"/>
        </left>
        <right style="medium">
          <color auto="1"/>
        </right>
        <top style="medium">
          <color auto="1"/>
        </top>
        <bottom style="thin">
          <color indexed="64"/>
        </bottom>
      </border>
    </dxf>
    <dxf>
      <alignment horizontal="center" vertical="center" textRotation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2060"/>
        <name val="Calibri"/>
        <scheme val="none"/>
      </font>
      <fill>
        <patternFill patternType="solid">
          <fgColor rgb="FFDDDDDD"/>
          <bgColor rgb="FFE2F0D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colors>
    <mruColors>
      <color rgb="FFFF3300"/>
      <color rgb="FFFFCCFF"/>
      <color rgb="FFFFFFCC"/>
      <color rgb="FFFFE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tuart_Bldg." displayName="Stuart_Bldg." ref="A3:F453" totalsRowShown="0" headerRowDxfId="120" dataDxfId="118" headerRowBorderDxfId="119" tableBorderDxfId="117">
  <autoFilter ref="A3:F453" xr:uid="{00000000-0009-0000-0100-000001000000}"/>
  <tableColumns count="6">
    <tableColumn id="2" xr3:uid="{00000000-0010-0000-0000-000002000000}" name="PROJECT NAME" dataDxfId="116"/>
    <tableColumn id="4" xr3:uid="{00000000-0010-0000-0000-000004000000}" name="Tasks" dataDxfId="115"/>
    <tableColumn id="6" xr3:uid="{00000000-0010-0000-0000-000006000000}" name="STATUS" dataDxfId="114"/>
    <tableColumn id="7" xr3:uid="{00000000-0010-0000-0000-000007000000}" name="CLIENT SUB. DATE" dataDxfId="113"/>
    <tableColumn id="13" xr3:uid="{00000000-0010-0000-0000-00000D000000}" name="DETAILER" dataDxfId="112"/>
    <tableColumn id="14" xr3:uid="{00000000-0010-0000-0000-00000E000000}" name="CHECKER" dataDxfId="11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4:R117"/>
  <sheetViews>
    <sheetView zoomScaleNormal="100" workbookViewId="0">
      <selection activeCell="I87" sqref="I87"/>
    </sheetView>
  </sheetViews>
  <sheetFormatPr defaultRowHeight="15" outlineLevelRow="1" x14ac:dyDescent="0.25"/>
  <cols>
    <col min="2" max="2" width="6.28515625" customWidth="1"/>
    <col min="3" max="3" width="12.7109375" customWidth="1"/>
    <col min="4" max="4" width="27.85546875" customWidth="1"/>
    <col min="5" max="5" width="43.7109375" bestFit="1" customWidth="1"/>
    <col min="6" max="6" width="11.5703125" customWidth="1"/>
    <col min="7" max="7" width="11.85546875" bestFit="1" customWidth="1"/>
    <col min="8" max="8" width="11.28515625" customWidth="1"/>
    <col min="9" max="9" width="64.140625" bestFit="1" customWidth="1"/>
    <col min="10" max="10" width="0" hidden="1" customWidth="1"/>
    <col min="11" max="11" width="20.140625" bestFit="1" customWidth="1"/>
    <col min="12" max="12" width="15.28515625" bestFit="1" customWidth="1"/>
    <col min="13" max="13" width="8.140625" bestFit="1" customWidth="1"/>
    <col min="14" max="14" width="13.5703125" bestFit="1" customWidth="1"/>
    <col min="15" max="15" width="11.85546875" bestFit="1" customWidth="1"/>
  </cols>
  <sheetData>
    <row r="4" spans="2:18" ht="15.75" thickBot="1" x14ac:dyDescent="0.3"/>
    <row r="5" spans="2:18" ht="18.75" x14ac:dyDescent="0.25">
      <c r="B5" s="75" t="s">
        <v>50</v>
      </c>
      <c r="C5" s="76"/>
      <c r="D5" s="76"/>
      <c r="E5" s="76"/>
      <c r="F5" s="76"/>
      <c r="G5" s="76"/>
      <c r="H5" s="76"/>
      <c r="I5" s="77"/>
    </row>
    <row r="6" spans="2:18" ht="15.75" x14ac:dyDescent="0.25">
      <c r="B6" s="78" t="s">
        <v>7</v>
      </c>
      <c r="C6" s="79"/>
      <c r="D6" s="80" t="s">
        <v>203</v>
      </c>
      <c r="E6" s="80"/>
      <c r="F6" s="80"/>
      <c r="G6" s="80"/>
      <c r="H6" s="80"/>
      <c r="I6" s="81"/>
    </row>
    <row r="7" spans="2:18" ht="17.25" x14ac:dyDescent="0.25">
      <c r="B7" s="82" t="s">
        <v>26</v>
      </c>
      <c r="C7" s="83"/>
      <c r="D7" s="83"/>
      <c r="E7" s="83"/>
      <c r="F7" s="83"/>
      <c r="G7" s="83"/>
      <c r="H7" s="83"/>
      <c r="I7" s="84"/>
    </row>
    <row r="8" spans="2:18" ht="17.25" x14ac:dyDescent="0.3">
      <c r="B8" s="5" t="s">
        <v>6</v>
      </c>
      <c r="C8" s="5" t="s">
        <v>0</v>
      </c>
      <c r="D8" s="5" t="s">
        <v>27</v>
      </c>
      <c r="E8" s="5" t="s">
        <v>1</v>
      </c>
      <c r="F8" s="5" t="s">
        <v>2</v>
      </c>
      <c r="G8" s="5" t="s">
        <v>3</v>
      </c>
      <c r="H8" s="5" t="s">
        <v>4</v>
      </c>
      <c r="I8" s="5" t="s">
        <v>5</v>
      </c>
      <c r="K8" s="27" t="s">
        <v>48</v>
      </c>
      <c r="R8" s="4"/>
    </row>
    <row r="9" spans="2:18" ht="15" customHeight="1" x14ac:dyDescent="0.25">
      <c r="B9" s="8">
        <v>1</v>
      </c>
      <c r="C9" s="1"/>
      <c r="D9" s="25"/>
      <c r="E9" s="20"/>
      <c r="F9" s="2"/>
      <c r="G9" s="2"/>
      <c r="H9" s="17"/>
      <c r="I9" s="17"/>
    </row>
    <row r="10" spans="2:18" ht="15" customHeight="1" x14ac:dyDescent="0.25">
      <c r="B10" s="8">
        <v>2</v>
      </c>
      <c r="C10" s="1"/>
      <c r="D10" s="25"/>
      <c r="E10" s="23"/>
      <c r="F10" s="2"/>
      <c r="G10" s="2"/>
      <c r="H10" s="17"/>
      <c r="I10" s="17"/>
    </row>
    <row r="11" spans="2:18" ht="15" customHeight="1" x14ac:dyDescent="0.25">
      <c r="B11" s="8">
        <v>3</v>
      </c>
      <c r="C11" s="1"/>
      <c r="D11" s="25"/>
      <c r="E11" s="20"/>
      <c r="F11" s="2"/>
      <c r="G11" s="2"/>
      <c r="H11" s="17"/>
      <c r="I11" s="17"/>
    </row>
    <row r="12" spans="2:18" ht="15" customHeight="1" x14ac:dyDescent="0.25">
      <c r="B12" s="8">
        <v>4</v>
      </c>
      <c r="C12" s="20"/>
      <c r="D12" s="26"/>
      <c r="E12" s="21"/>
      <c r="F12" s="2"/>
      <c r="G12" s="2"/>
      <c r="H12" s="1"/>
      <c r="I12" s="1"/>
    </row>
    <row r="13" spans="2:18" ht="15" customHeight="1" x14ac:dyDescent="0.25">
      <c r="B13" s="8">
        <v>5</v>
      </c>
      <c r="C13" s="20"/>
      <c r="D13" s="26"/>
      <c r="E13" s="21"/>
      <c r="F13" s="2"/>
      <c r="G13" s="2"/>
      <c r="H13" s="17"/>
      <c r="I13" s="17"/>
    </row>
    <row r="14" spans="2:18" ht="15" customHeight="1" x14ac:dyDescent="0.25">
      <c r="B14" s="8"/>
      <c r="C14" s="20"/>
      <c r="D14" s="26"/>
      <c r="E14" s="21"/>
      <c r="F14" s="2"/>
      <c r="G14" s="2"/>
      <c r="H14" s="17"/>
      <c r="I14" s="17"/>
    </row>
    <row r="15" spans="2:18" ht="15" customHeight="1" x14ac:dyDescent="0.25">
      <c r="B15" s="8"/>
      <c r="C15" s="20"/>
      <c r="D15" s="26"/>
      <c r="E15" s="21"/>
      <c r="F15" s="2"/>
      <c r="G15" s="2"/>
      <c r="H15" s="17"/>
      <c r="I15" s="17"/>
    </row>
    <row r="16" spans="2:18" ht="15" customHeight="1" x14ac:dyDescent="0.25">
      <c r="B16" s="8"/>
      <c r="C16" s="1"/>
      <c r="D16" s="26"/>
      <c r="E16" s="23"/>
      <c r="F16" s="2"/>
      <c r="G16" s="2"/>
      <c r="H16" s="17"/>
      <c r="I16" s="1"/>
    </row>
    <row r="17" spans="2:10" ht="15" customHeight="1" x14ac:dyDescent="0.25">
      <c r="B17" s="8"/>
      <c r="C17" s="1"/>
      <c r="D17" s="20"/>
      <c r="E17" s="23"/>
      <c r="F17" s="2"/>
      <c r="G17" s="2"/>
      <c r="H17" s="1"/>
      <c r="I17" s="1"/>
    </row>
    <row r="18" spans="2:10" ht="15" customHeight="1" x14ac:dyDescent="0.25">
      <c r="B18" s="8"/>
      <c r="C18" s="20"/>
      <c r="D18" s="20"/>
      <c r="E18" s="21"/>
      <c r="F18" s="2"/>
      <c r="G18" s="2"/>
      <c r="H18" s="17"/>
      <c r="I18" s="1"/>
    </row>
    <row r="19" spans="2:10" ht="15" customHeight="1" x14ac:dyDescent="0.25">
      <c r="B19" s="8"/>
      <c r="C19" s="1"/>
      <c r="D19" s="20"/>
      <c r="E19" s="21"/>
      <c r="F19" s="2"/>
      <c r="G19" s="2"/>
      <c r="H19" s="1"/>
      <c r="I19" s="1"/>
    </row>
    <row r="20" spans="2:10" ht="15" customHeight="1" x14ac:dyDescent="0.25">
      <c r="B20" s="8"/>
      <c r="C20" s="23"/>
      <c r="D20" s="1"/>
      <c r="E20" s="23"/>
      <c r="F20" s="2"/>
      <c r="G20" s="2"/>
      <c r="H20" s="17"/>
      <c r="I20" s="17"/>
    </row>
    <row r="21" spans="2:10" ht="15" customHeight="1" x14ac:dyDescent="0.25">
      <c r="B21" s="8"/>
      <c r="C21" s="1"/>
      <c r="D21" s="1"/>
      <c r="E21" s="23"/>
      <c r="F21" s="2"/>
      <c r="G21" s="2"/>
      <c r="H21" s="17"/>
      <c r="I21" s="17"/>
    </row>
    <row r="22" spans="2:10" ht="15" customHeight="1" x14ac:dyDescent="0.25">
      <c r="B22" s="8"/>
      <c r="C22" s="1"/>
      <c r="D22" s="20"/>
      <c r="E22" s="23"/>
      <c r="F22" s="2"/>
      <c r="G22" s="2"/>
      <c r="H22" s="17"/>
      <c r="I22" s="17"/>
    </row>
    <row r="23" spans="2:10" ht="15" customHeight="1" x14ac:dyDescent="0.25">
      <c r="B23" s="85" t="s">
        <v>18</v>
      </c>
      <c r="C23" s="85"/>
      <c r="D23" s="85"/>
      <c r="E23" s="85"/>
      <c r="F23" s="6">
        <f>SUM(F9:F22)</f>
        <v>0</v>
      </c>
      <c r="G23" s="6">
        <f>SUM(G9:G22)</f>
        <v>0</v>
      </c>
      <c r="H23" s="86"/>
      <c r="I23" s="87"/>
      <c r="J23">
        <f>F23+G23</f>
        <v>0</v>
      </c>
    </row>
    <row r="24" spans="2:10" ht="15" customHeight="1" x14ac:dyDescent="0.3">
      <c r="B24" s="88" t="s">
        <v>40</v>
      </c>
      <c r="C24" s="89"/>
      <c r="D24" s="89"/>
      <c r="E24" s="89"/>
      <c r="F24" s="89"/>
      <c r="G24" s="89"/>
      <c r="H24" s="89"/>
      <c r="I24" s="90"/>
    </row>
    <row r="25" spans="2:10" ht="15" customHeight="1" x14ac:dyDescent="0.25">
      <c r="B25" s="8"/>
      <c r="C25" s="1"/>
      <c r="D25" s="25"/>
      <c r="E25" s="20"/>
      <c r="F25" s="2"/>
      <c r="G25" s="2"/>
      <c r="H25" s="17"/>
      <c r="I25" s="17"/>
    </row>
    <row r="26" spans="2:10" ht="15" customHeight="1" x14ac:dyDescent="0.25">
      <c r="B26" s="8"/>
      <c r="C26" s="1"/>
      <c r="D26" s="25"/>
      <c r="E26" s="20"/>
      <c r="F26" s="2"/>
      <c r="G26" s="2"/>
      <c r="H26" s="17"/>
      <c r="I26" s="17"/>
    </row>
    <row r="27" spans="2:10" ht="15" customHeight="1" x14ac:dyDescent="0.25">
      <c r="B27" s="8"/>
      <c r="C27" s="1"/>
      <c r="D27" s="25"/>
      <c r="E27" s="20"/>
      <c r="F27" s="2"/>
      <c r="G27" s="2"/>
      <c r="H27" s="17"/>
      <c r="I27" s="17"/>
    </row>
    <row r="28" spans="2:10" ht="15" customHeight="1" x14ac:dyDescent="0.25">
      <c r="B28" s="8"/>
      <c r="C28" s="1"/>
      <c r="D28" s="25"/>
      <c r="E28" s="20"/>
      <c r="F28" s="2"/>
      <c r="G28" s="2"/>
      <c r="H28" s="17"/>
      <c r="I28" s="17"/>
    </row>
    <row r="29" spans="2:10" ht="15" customHeight="1" x14ac:dyDescent="0.25">
      <c r="B29" s="8"/>
      <c r="C29" s="20"/>
      <c r="D29" s="26"/>
      <c r="E29" s="21"/>
      <c r="F29" s="2"/>
      <c r="G29" s="2"/>
      <c r="H29" s="1"/>
      <c r="I29" s="1"/>
    </row>
    <row r="30" spans="2:10" ht="15" customHeight="1" x14ac:dyDescent="0.25">
      <c r="B30" s="8"/>
      <c r="C30" s="20"/>
      <c r="D30" s="26"/>
      <c r="E30" s="21"/>
      <c r="F30" s="2"/>
      <c r="G30" s="2"/>
      <c r="H30" s="17"/>
      <c r="I30" s="17"/>
    </row>
    <row r="31" spans="2:10" ht="15" customHeight="1" x14ac:dyDescent="0.25">
      <c r="B31" s="8"/>
      <c r="C31" s="20"/>
      <c r="D31" s="26"/>
      <c r="E31" s="21"/>
      <c r="F31" s="2"/>
      <c r="G31" s="2"/>
      <c r="H31" s="17"/>
      <c r="I31" s="17"/>
    </row>
    <row r="32" spans="2:10" ht="15" customHeight="1" x14ac:dyDescent="0.25">
      <c r="B32" s="8"/>
      <c r="C32" s="1"/>
      <c r="D32" s="23"/>
      <c r="E32" s="20"/>
      <c r="F32" s="2"/>
      <c r="G32" s="2"/>
      <c r="H32" s="1"/>
      <c r="I32" s="1"/>
    </row>
    <row r="33" spans="2:10" ht="15" customHeight="1" x14ac:dyDescent="0.25">
      <c r="B33" s="8"/>
      <c r="C33" s="1"/>
      <c r="D33" s="20"/>
      <c r="E33" s="20"/>
      <c r="F33" s="2"/>
      <c r="G33" s="2"/>
      <c r="H33" s="1"/>
      <c r="I33" s="1"/>
    </row>
    <row r="34" spans="2:10" ht="15" customHeight="1" x14ac:dyDescent="0.25">
      <c r="B34" s="8"/>
      <c r="C34" s="1"/>
      <c r="D34" s="20"/>
      <c r="E34" s="21"/>
      <c r="F34" s="2"/>
      <c r="G34" s="2"/>
      <c r="H34" s="1"/>
      <c r="I34" s="1"/>
    </row>
    <row r="35" spans="2:10" ht="15" customHeight="1" x14ac:dyDescent="0.25">
      <c r="B35" s="8"/>
      <c r="C35" s="1"/>
      <c r="D35" s="23"/>
      <c r="E35" s="20"/>
      <c r="F35" s="2"/>
      <c r="G35" s="2"/>
      <c r="H35" s="1"/>
      <c r="I35" s="1"/>
    </row>
    <row r="36" spans="2:10" ht="15" customHeight="1" x14ac:dyDescent="0.25">
      <c r="B36" s="8"/>
      <c r="C36" s="1"/>
      <c r="D36" s="20"/>
      <c r="E36" s="20"/>
      <c r="F36" s="2"/>
      <c r="G36" s="2"/>
      <c r="H36" s="17"/>
      <c r="I36" s="1"/>
    </row>
    <row r="37" spans="2:10" ht="15" customHeight="1" x14ac:dyDescent="0.25">
      <c r="B37" s="8"/>
      <c r="C37" s="20"/>
      <c r="D37" s="26"/>
      <c r="E37" s="21"/>
      <c r="F37" s="2"/>
      <c r="G37" s="2"/>
      <c r="H37" s="17"/>
      <c r="I37" s="17"/>
    </row>
    <row r="38" spans="2:10" ht="15" customHeight="1" x14ac:dyDescent="0.25">
      <c r="B38" s="8"/>
      <c r="C38" s="20"/>
      <c r="D38" s="20"/>
      <c r="E38" s="21"/>
      <c r="F38" s="2"/>
      <c r="G38" s="2"/>
      <c r="H38" s="17"/>
      <c r="I38" s="1"/>
    </row>
    <row r="39" spans="2:10" ht="15" customHeight="1" x14ac:dyDescent="0.25">
      <c r="B39" s="8"/>
      <c r="C39" s="1"/>
      <c r="D39" s="20"/>
      <c r="E39" s="21"/>
      <c r="F39" s="2"/>
      <c r="G39" s="2"/>
      <c r="H39" s="1"/>
      <c r="I39" s="1"/>
    </row>
    <row r="40" spans="2:10" ht="15" customHeight="1" x14ac:dyDescent="0.25">
      <c r="B40" s="8"/>
      <c r="C40" s="23"/>
      <c r="D40" s="1"/>
      <c r="E40" s="23"/>
      <c r="F40" s="2"/>
      <c r="G40" s="2"/>
      <c r="H40" s="17"/>
      <c r="I40" s="17"/>
    </row>
    <row r="41" spans="2:10" outlineLevel="1" x14ac:dyDescent="0.25">
      <c r="B41" s="8"/>
      <c r="C41" s="1"/>
      <c r="D41" s="20"/>
      <c r="E41" s="20"/>
      <c r="F41" s="2"/>
      <c r="G41" s="2"/>
      <c r="H41" s="17"/>
      <c r="I41" s="17"/>
    </row>
    <row r="42" spans="2:10" x14ac:dyDescent="0.25">
      <c r="B42" s="8"/>
      <c r="C42" s="1"/>
      <c r="D42" s="29"/>
      <c r="E42" s="23"/>
      <c r="F42" s="2"/>
      <c r="G42" s="2"/>
      <c r="H42" s="17"/>
      <c r="I42" s="17"/>
    </row>
    <row r="43" spans="2:10" ht="15" customHeight="1" x14ac:dyDescent="0.25">
      <c r="B43" s="8"/>
      <c r="C43" s="1"/>
      <c r="D43" s="20"/>
      <c r="E43" s="23"/>
      <c r="F43" s="2"/>
      <c r="G43" s="2"/>
      <c r="H43" s="17"/>
      <c r="I43" s="17"/>
    </row>
    <row r="44" spans="2:10" ht="15" customHeight="1" x14ac:dyDescent="0.25">
      <c r="B44" s="85" t="s">
        <v>18</v>
      </c>
      <c r="C44" s="85"/>
      <c r="D44" s="85"/>
      <c r="E44" s="85"/>
      <c r="F44" s="6">
        <f>SUM(F25:F43)</f>
        <v>0</v>
      </c>
      <c r="G44" s="6">
        <f>SUM(G25:G43)</f>
        <v>0</v>
      </c>
      <c r="H44" s="85"/>
      <c r="I44" s="85"/>
      <c r="J44">
        <f>F44+G44</f>
        <v>0</v>
      </c>
    </row>
    <row r="45" spans="2:10" ht="15" customHeight="1" x14ac:dyDescent="0.3">
      <c r="B45" s="91" t="s">
        <v>8</v>
      </c>
      <c r="C45" s="91"/>
      <c r="D45" s="91"/>
      <c r="E45" s="91"/>
      <c r="F45" s="91"/>
      <c r="G45" s="91"/>
      <c r="H45" s="91"/>
      <c r="I45" s="91"/>
    </row>
    <row r="46" spans="2:10" ht="15" customHeight="1" x14ac:dyDescent="0.25">
      <c r="B46" s="8">
        <v>1</v>
      </c>
      <c r="C46" s="20"/>
      <c r="D46" s="20" t="s">
        <v>145</v>
      </c>
      <c r="E46" s="38" t="s">
        <v>132</v>
      </c>
      <c r="F46" s="2"/>
      <c r="G46" s="2"/>
      <c r="H46" s="1"/>
      <c r="I46" s="1"/>
    </row>
    <row r="47" spans="2:10" ht="15" customHeight="1" x14ac:dyDescent="0.25">
      <c r="B47" s="8"/>
      <c r="C47" s="1"/>
      <c r="D47" s="25"/>
      <c r="E47" s="38" t="s">
        <v>146</v>
      </c>
      <c r="F47" s="2"/>
      <c r="G47" s="2"/>
      <c r="H47" s="1"/>
      <c r="I47" s="1"/>
    </row>
    <row r="48" spans="2:10" ht="15" customHeight="1" x14ac:dyDescent="0.25">
      <c r="B48" s="8"/>
      <c r="C48" s="1"/>
      <c r="D48" s="25"/>
      <c r="E48" s="38" t="s">
        <v>134</v>
      </c>
      <c r="F48" s="2"/>
      <c r="G48" s="2"/>
      <c r="H48" s="1"/>
      <c r="I48" s="1"/>
    </row>
    <row r="49" spans="2:11" ht="15" customHeight="1" x14ac:dyDescent="0.25">
      <c r="B49" s="8"/>
      <c r="C49" s="1"/>
      <c r="D49" s="25"/>
      <c r="E49" s="21"/>
      <c r="F49" s="2"/>
      <c r="G49" s="2"/>
      <c r="H49" s="1"/>
      <c r="I49" s="1"/>
    </row>
    <row r="50" spans="2:11" ht="15" customHeight="1" x14ac:dyDescent="0.25">
      <c r="B50" s="8">
        <v>2</v>
      </c>
      <c r="C50" s="1"/>
      <c r="D50" s="25" t="s">
        <v>179</v>
      </c>
      <c r="E50" s="38" t="s">
        <v>185</v>
      </c>
      <c r="F50" s="2"/>
      <c r="G50" s="2"/>
      <c r="H50" s="1"/>
      <c r="I50" s="1"/>
    </row>
    <row r="51" spans="2:11" ht="15" customHeight="1" x14ac:dyDescent="0.25">
      <c r="B51" s="8"/>
      <c r="C51" s="20"/>
      <c r="D51" s="25"/>
      <c r="E51" s="38" t="s">
        <v>187</v>
      </c>
      <c r="F51" s="2"/>
      <c r="G51" s="16"/>
      <c r="H51" s="1"/>
      <c r="I51" s="1"/>
    </row>
    <row r="52" spans="2:11" ht="15" customHeight="1" x14ac:dyDescent="0.25">
      <c r="B52" s="8"/>
      <c r="C52" s="1"/>
      <c r="D52" s="26"/>
      <c r="E52" s="38" t="s">
        <v>188</v>
      </c>
      <c r="F52" s="2"/>
      <c r="G52" s="2"/>
      <c r="H52" s="1"/>
      <c r="I52" s="1"/>
    </row>
    <row r="53" spans="2:11" ht="15" customHeight="1" x14ac:dyDescent="0.25">
      <c r="B53" s="8"/>
      <c r="C53" s="1"/>
      <c r="D53" s="26"/>
      <c r="E53" s="23"/>
      <c r="F53" s="2"/>
      <c r="G53" s="2"/>
      <c r="H53" s="1"/>
      <c r="I53" s="1"/>
    </row>
    <row r="54" spans="2:11" ht="15" customHeight="1" x14ac:dyDescent="0.25">
      <c r="B54" s="8">
        <v>3</v>
      </c>
      <c r="C54" s="1"/>
      <c r="D54" s="25" t="s">
        <v>43</v>
      </c>
      <c r="E54" s="38" t="s">
        <v>51</v>
      </c>
      <c r="F54" s="2"/>
      <c r="G54" s="2"/>
      <c r="H54" s="1"/>
      <c r="I54" s="1"/>
      <c r="K54" t="s">
        <v>119</v>
      </c>
    </row>
    <row r="55" spans="2:11" ht="15" customHeight="1" x14ac:dyDescent="0.25">
      <c r="B55" s="8"/>
      <c r="C55" s="1"/>
      <c r="D55" s="20"/>
      <c r="E55" s="38" t="s">
        <v>191</v>
      </c>
      <c r="F55" s="2"/>
      <c r="G55" s="2"/>
      <c r="H55" s="1"/>
      <c r="I55" s="1"/>
      <c r="K55" t="s">
        <v>119</v>
      </c>
    </row>
    <row r="56" spans="2:11" ht="15" customHeight="1" x14ac:dyDescent="0.25">
      <c r="B56" s="8"/>
      <c r="C56" s="1"/>
      <c r="D56" s="23"/>
      <c r="E56" s="38" t="s">
        <v>184</v>
      </c>
      <c r="F56" s="2"/>
      <c r="G56" s="2"/>
      <c r="H56" s="1"/>
      <c r="I56" s="1"/>
      <c r="K56" t="s">
        <v>119</v>
      </c>
    </row>
    <row r="57" spans="2:11" ht="15" customHeight="1" x14ac:dyDescent="0.25">
      <c r="B57" s="8"/>
      <c r="C57" s="1"/>
      <c r="D57" s="20"/>
      <c r="E57" s="23"/>
      <c r="F57" s="2"/>
      <c r="G57" s="2"/>
      <c r="H57" s="1"/>
      <c r="I57" s="1"/>
    </row>
    <row r="58" spans="2:11" ht="15" customHeight="1" x14ac:dyDescent="0.25">
      <c r="B58" s="8">
        <v>4</v>
      </c>
      <c r="C58" s="1"/>
      <c r="D58" s="25" t="s">
        <v>44</v>
      </c>
      <c r="E58" s="38" t="s">
        <v>137</v>
      </c>
      <c r="F58" s="2"/>
      <c r="G58" s="2"/>
      <c r="H58" s="1"/>
      <c r="I58" s="1"/>
      <c r="K58" t="s">
        <v>14</v>
      </c>
    </row>
    <row r="59" spans="2:11" ht="15" customHeight="1" x14ac:dyDescent="0.25">
      <c r="B59" s="8"/>
      <c r="C59" s="1"/>
      <c r="D59" s="20"/>
      <c r="E59" s="38" t="s">
        <v>141</v>
      </c>
      <c r="F59" s="2"/>
      <c r="G59" s="2"/>
      <c r="H59" s="1"/>
      <c r="I59" s="1"/>
      <c r="K59" t="s">
        <v>204</v>
      </c>
    </row>
    <row r="60" spans="2:11" ht="15" customHeight="1" x14ac:dyDescent="0.25">
      <c r="B60" s="8"/>
      <c r="C60" s="1"/>
      <c r="D60" s="20"/>
      <c r="E60" s="23"/>
      <c r="F60" s="2"/>
      <c r="G60" s="2"/>
      <c r="H60" s="1"/>
      <c r="I60" s="1"/>
    </row>
    <row r="61" spans="2:11" ht="15" customHeight="1" x14ac:dyDescent="0.25">
      <c r="B61" s="8">
        <v>5</v>
      </c>
      <c r="C61" s="1"/>
      <c r="D61" s="25" t="s">
        <v>46</v>
      </c>
      <c r="E61" s="38" t="s">
        <v>138</v>
      </c>
      <c r="F61" s="2"/>
      <c r="G61" s="2"/>
      <c r="H61" s="1"/>
      <c r="I61" s="1"/>
    </row>
    <row r="62" spans="2:11" ht="15" customHeight="1" x14ac:dyDescent="0.25">
      <c r="B62" s="8"/>
      <c r="C62" s="1"/>
      <c r="D62" s="26"/>
      <c r="E62" s="38" t="s">
        <v>149</v>
      </c>
      <c r="F62" s="2"/>
      <c r="G62" s="2"/>
      <c r="H62" s="1"/>
      <c r="I62" s="1"/>
    </row>
    <row r="63" spans="2:11" ht="15" customHeight="1" x14ac:dyDescent="0.25">
      <c r="B63" s="8"/>
      <c r="C63" s="1"/>
      <c r="D63" s="23"/>
      <c r="E63" s="21"/>
      <c r="F63" s="2"/>
      <c r="G63" s="2"/>
      <c r="H63" s="1"/>
      <c r="I63" s="1"/>
    </row>
    <row r="64" spans="2:11" ht="15" customHeight="1" x14ac:dyDescent="0.25">
      <c r="B64" s="8">
        <v>6</v>
      </c>
      <c r="C64" s="1"/>
      <c r="D64" s="26" t="s">
        <v>45</v>
      </c>
      <c r="E64" s="38" t="s">
        <v>120</v>
      </c>
      <c r="F64" s="2"/>
      <c r="G64" s="2"/>
      <c r="H64" s="1"/>
      <c r="I64" s="1"/>
    </row>
    <row r="65" spans="2:11" ht="15" customHeight="1" x14ac:dyDescent="0.25">
      <c r="B65" s="8"/>
      <c r="C65" s="1"/>
      <c r="D65" s="23"/>
      <c r="E65" s="38" t="s">
        <v>149</v>
      </c>
      <c r="F65" s="2"/>
      <c r="G65" s="2"/>
      <c r="H65" s="1"/>
      <c r="I65" s="1"/>
    </row>
    <row r="66" spans="2:11" ht="15" customHeight="1" x14ac:dyDescent="0.25">
      <c r="B66" s="8"/>
      <c r="C66" s="1"/>
      <c r="D66" s="23"/>
      <c r="E66" s="21"/>
      <c r="F66" s="2"/>
      <c r="G66" s="2"/>
      <c r="H66" s="1"/>
      <c r="I66" s="1"/>
    </row>
    <row r="67" spans="2:11" ht="15" customHeight="1" x14ac:dyDescent="0.25">
      <c r="B67" s="8">
        <v>7</v>
      </c>
      <c r="C67" s="1"/>
      <c r="D67" s="25" t="s">
        <v>52</v>
      </c>
      <c r="E67" s="38" t="s">
        <v>166</v>
      </c>
      <c r="F67" s="2"/>
      <c r="G67" s="2"/>
      <c r="H67" s="1"/>
      <c r="I67" s="1"/>
    </row>
    <row r="68" spans="2:11" ht="15" customHeight="1" x14ac:dyDescent="0.25">
      <c r="B68" s="8"/>
      <c r="C68" s="1"/>
      <c r="D68" s="23"/>
      <c r="E68" s="38" t="s">
        <v>111</v>
      </c>
      <c r="F68" s="2"/>
      <c r="G68" s="2"/>
      <c r="H68" s="1"/>
      <c r="I68" s="1"/>
    </row>
    <row r="69" spans="2:11" ht="15" customHeight="1" x14ac:dyDescent="0.25">
      <c r="B69" s="8"/>
      <c r="C69" s="1"/>
      <c r="D69" s="20"/>
      <c r="E69" s="21"/>
      <c r="F69" s="2"/>
      <c r="G69" s="2"/>
      <c r="H69" s="1"/>
      <c r="I69" s="1"/>
    </row>
    <row r="70" spans="2:11" ht="15" customHeight="1" x14ac:dyDescent="0.25">
      <c r="B70" s="8">
        <v>8</v>
      </c>
      <c r="C70" s="1"/>
      <c r="D70" s="25" t="s">
        <v>56</v>
      </c>
      <c r="E70" s="38" t="s">
        <v>110</v>
      </c>
      <c r="F70" s="2"/>
      <c r="G70" s="2"/>
      <c r="H70" s="1"/>
      <c r="I70" s="1"/>
    </row>
    <row r="71" spans="2:11" ht="15" customHeight="1" x14ac:dyDescent="0.25">
      <c r="B71" s="8"/>
      <c r="C71" s="1"/>
      <c r="D71" s="20"/>
      <c r="E71" s="38" t="s">
        <v>141</v>
      </c>
      <c r="F71" s="2"/>
      <c r="G71" s="2"/>
      <c r="H71" s="1"/>
      <c r="I71" s="1"/>
    </row>
    <row r="72" spans="2:11" ht="15" customHeight="1" x14ac:dyDescent="0.25">
      <c r="B72" s="8"/>
      <c r="C72" s="1"/>
      <c r="D72" s="20"/>
      <c r="E72" s="21"/>
      <c r="F72" s="2"/>
      <c r="G72" s="2"/>
      <c r="H72" s="1"/>
      <c r="I72" s="1"/>
    </row>
    <row r="73" spans="2:11" ht="15" customHeight="1" x14ac:dyDescent="0.25">
      <c r="B73" s="8">
        <v>9</v>
      </c>
      <c r="C73" s="1"/>
      <c r="D73" s="25" t="s">
        <v>53</v>
      </c>
      <c r="E73" s="38" t="s">
        <v>138</v>
      </c>
      <c r="F73" s="2"/>
      <c r="G73" s="2"/>
      <c r="H73" s="1"/>
      <c r="I73" s="1"/>
    </row>
    <row r="74" spans="2:11" ht="15" customHeight="1" x14ac:dyDescent="0.25">
      <c r="B74" s="8"/>
      <c r="C74" s="1"/>
      <c r="D74" s="20"/>
      <c r="E74" s="38" t="s">
        <v>149</v>
      </c>
      <c r="F74" s="2"/>
      <c r="G74" s="2"/>
      <c r="H74" s="1"/>
      <c r="I74" s="1"/>
    </row>
    <row r="75" spans="2:11" ht="15" customHeight="1" x14ac:dyDescent="0.25">
      <c r="B75" s="8"/>
      <c r="C75" s="1"/>
      <c r="D75" s="21"/>
      <c r="E75" s="21"/>
      <c r="F75" s="2"/>
      <c r="G75" s="2"/>
      <c r="H75" s="17"/>
      <c r="I75" s="1"/>
    </row>
    <row r="76" spans="2:11" ht="15" customHeight="1" x14ac:dyDescent="0.25">
      <c r="B76" s="8">
        <v>10</v>
      </c>
      <c r="C76" s="23"/>
      <c r="D76" s="26" t="s">
        <v>163</v>
      </c>
      <c r="E76" s="38" t="s">
        <v>126</v>
      </c>
      <c r="F76" s="2"/>
      <c r="G76" s="16"/>
      <c r="H76" s="1"/>
      <c r="I76" s="17"/>
      <c r="K76" t="s">
        <v>35</v>
      </c>
    </row>
    <row r="77" spans="2:11" ht="15" customHeight="1" x14ac:dyDescent="0.25">
      <c r="B77" s="8"/>
      <c r="C77" s="23"/>
      <c r="D77" s="1"/>
      <c r="E77" s="23"/>
      <c r="F77" s="2"/>
      <c r="G77" s="16"/>
      <c r="H77" s="1"/>
      <c r="I77" s="17"/>
    </row>
    <row r="78" spans="2:11" ht="15" customHeight="1" x14ac:dyDescent="0.25">
      <c r="B78" s="8">
        <v>11</v>
      </c>
      <c r="C78" s="23"/>
      <c r="D78" s="25" t="s">
        <v>54</v>
      </c>
      <c r="E78" s="38" t="s">
        <v>79</v>
      </c>
      <c r="F78" s="2"/>
      <c r="G78" s="16"/>
      <c r="H78" s="1"/>
      <c r="I78" s="17"/>
      <c r="K78" t="s">
        <v>31</v>
      </c>
    </row>
    <row r="79" spans="2:11" ht="15" customHeight="1" x14ac:dyDescent="0.25">
      <c r="B79" s="8"/>
      <c r="C79" s="23"/>
      <c r="D79" s="1"/>
      <c r="E79" s="25" t="s">
        <v>165</v>
      </c>
      <c r="F79" s="2"/>
      <c r="G79" s="16"/>
      <c r="H79" s="1"/>
      <c r="I79" s="17"/>
    </row>
    <row r="80" spans="2:11" ht="15" customHeight="1" x14ac:dyDescent="0.25">
      <c r="B80" s="8"/>
      <c r="C80" s="23"/>
      <c r="D80" s="1"/>
      <c r="E80" s="23"/>
      <c r="F80" s="2"/>
      <c r="G80" s="16"/>
      <c r="H80" s="1"/>
      <c r="I80" s="17"/>
    </row>
    <row r="81" spans="2:10" ht="15" customHeight="1" x14ac:dyDescent="0.25">
      <c r="B81" s="8">
        <v>12</v>
      </c>
      <c r="C81" s="23"/>
      <c r="D81" s="26" t="s">
        <v>55</v>
      </c>
      <c r="E81" s="38" t="s">
        <v>122</v>
      </c>
      <c r="F81" s="2"/>
      <c r="G81" s="16"/>
      <c r="H81" s="1"/>
      <c r="I81" s="17"/>
    </row>
    <row r="82" spans="2:10" ht="15" customHeight="1" x14ac:dyDescent="0.25">
      <c r="B82" s="8"/>
      <c r="C82" s="23"/>
      <c r="D82" s="1"/>
      <c r="E82" s="38" t="s">
        <v>120</v>
      </c>
      <c r="F82" s="2"/>
      <c r="G82" s="16"/>
      <c r="H82" s="1"/>
      <c r="I82" s="17"/>
    </row>
    <row r="83" spans="2:10" ht="15" customHeight="1" x14ac:dyDescent="0.25">
      <c r="B83" s="8"/>
      <c r="C83" s="23"/>
      <c r="D83" s="1"/>
      <c r="E83" s="38" t="s">
        <v>162</v>
      </c>
      <c r="F83" s="2"/>
      <c r="G83" s="16"/>
      <c r="H83" s="1"/>
      <c r="I83" s="17"/>
    </row>
    <row r="84" spans="2:10" ht="15" customHeight="1" x14ac:dyDescent="0.25">
      <c r="B84" s="8"/>
      <c r="C84" s="23"/>
      <c r="D84" s="1"/>
      <c r="E84" s="23"/>
      <c r="F84" s="2"/>
      <c r="G84" s="16"/>
      <c r="H84" s="1"/>
      <c r="I84" s="17"/>
    </row>
    <row r="85" spans="2:10" ht="15" customHeight="1" x14ac:dyDescent="0.25">
      <c r="B85" s="8">
        <v>13</v>
      </c>
      <c r="C85" s="23"/>
      <c r="D85" s="25" t="s">
        <v>63</v>
      </c>
      <c r="E85" s="38" t="s">
        <v>176</v>
      </c>
      <c r="F85" s="2"/>
      <c r="G85" s="16"/>
      <c r="H85" s="1"/>
      <c r="I85" s="17"/>
    </row>
    <row r="86" spans="2:10" ht="15" customHeight="1" x14ac:dyDescent="0.25">
      <c r="B86" s="8"/>
      <c r="C86" s="23"/>
      <c r="D86" s="1"/>
      <c r="E86" s="23"/>
      <c r="F86" s="2"/>
      <c r="G86" s="16"/>
      <c r="H86" s="1"/>
      <c r="I86" s="17"/>
    </row>
    <row r="87" spans="2:10" ht="15" customHeight="1" x14ac:dyDescent="0.25">
      <c r="B87" s="8">
        <v>14</v>
      </c>
      <c r="C87" s="23"/>
      <c r="D87" s="25" t="s">
        <v>196</v>
      </c>
      <c r="E87" s="38" t="s">
        <v>197</v>
      </c>
      <c r="F87" s="2"/>
      <c r="G87" s="16"/>
      <c r="H87" s="1"/>
      <c r="I87" s="17"/>
    </row>
    <row r="88" spans="2:10" ht="15" customHeight="1" x14ac:dyDescent="0.25">
      <c r="B88" s="8"/>
      <c r="C88" s="23"/>
      <c r="D88" s="1"/>
      <c r="E88" s="23"/>
      <c r="F88" s="2"/>
      <c r="G88" s="16"/>
      <c r="H88" s="1"/>
      <c r="I88" s="17"/>
    </row>
    <row r="89" spans="2:10" ht="15" customHeight="1" x14ac:dyDescent="0.25">
      <c r="B89" s="8"/>
      <c r="C89" s="23"/>
      <c r="D89" s="1"/>
      <c r="E89" s="23"/>
      <c r="F89" s="2"/>
      <c r="G89" s="16"/>
      <c r="H89" s="1"/>
      <c r="I89" s="17"/>
    </row>
    <row r="90" spans="2:10" ht="15" customHeight="1" x14ac:dyDescent="0.25">
      <c r="B90" s="8"/>
      <c r="C90" s="23"/>
      <c r="D90" s="1"/>
      <c r="E90" s="23"/>
      <c r="F90" s="2"/>
      <c r="G90" s="16"/>
      <c r="H90" s="1"/>
      <c r="I90" s="17"/>
    </row>
    <row r="91" spans="2:10" ht="15" customHeight="1" x14ac:dyDescent="0.25">
      <c r="B91" s="8"/>
      <c r="C91" s="23"/>
      <c r="D91" s="1"/>
      <c r="E91" s="23"/>
      <c r="F91" s="2"/>
      <c r="G91" s="16"/>
      <c r="H91" s="1"/>
      <c r="I91" s="17"/>
    </row>
    <row r="92" spans="2:10" ht="15" customHeight="1" x14ac:dyDescent="0.25">
      <c r="B92" s="8"/>
      <c r="C92" s="23"/>
      <c r="D92" s="1"/>
      <c r="E92" s="23"/>
      <c r="F92" s="2"/>
      <c r="G92" s="16"/>
      <c r="H92" s="1"/>
      <c r="I92" s="17"/>
    </row>
    <row r="93" spans="2:10" x14ac:dyDescent="0.25">
      <c r="B93" s="85" t="s">
        <v>18</v>
      </c>
      <c r="C93" s="85"/>
      <c r="D93" s="85"/>
      <c r="E93" s="85"/>
      <c r="F93" s="6">
        <f>SUM(F46:F76)</f>
        <v>0</v>
      </c>
      <c r="G93" s="6">
        <v>60</v>
      </c>
      <c r="H93" s="28"/>
      <c r="I93" s="28"/>
      <c r="J93">
        <f>F93+G93</f>
        <v>60</v>
      </c>
    </row>
    <row r="94" spans="2:10" ht="15" customHeight="1" x14ac:dyDescent="0.3">
      <c r="B94" s="91" t="s">
        <v>12</v>
      </c>
      <c r="C94" s="91"/>
      <c r="D94" s="91"/>
      <c r="E94" s="91"/>
      <c r="F94" s="91"/>
      <c r="G94" s="91"/>
      <c r="H94" s="91"/>
      <c r="I94" s="91"/>
    </row>
    <row r="95" spans="2:10" ht="15" customHeight="1" x14ac:dyDescent="0.25">
      <c r="B95" s="8">
        <v>1</v>
      </c>
      <c r="C95" s="1"/>
      <c r="D95" s="22"/>
      <c r="E95" s="24"/>
      <c r="F95" s="2"/>
      <c r="G95" s="16"/>
      <c r="H95" s="1"/>
      <c r="I95" s="1"/>
    </row>
    <row r="96" spans="2:10" ht="15" customHeight="1" x14ac:dyDescent="0.25">
      <c r="B96" s="8">
        <v>2</v>
      </c>
      <c r="C96" s="1"/>
      <c r="D96" s="1"/>
      <c r="E96" s="1"/>
      <c r="F96" s="2"/>
      <c r="G96" s="16"/>
      <c r="H96" s="1"/>
      <c r="I96" s="1"/>
    </row>
    <row r="97" spans="2:9" ht="15" customHeight="1" x14ac:dyDescent="0.25">
      <c r="B97" s="8">
        <v>3</v>
      </c>
      <c r="C97" s="1"/>
      <c r="D97" s="1"/>
      <c r="E97" s="1"/>
      <c r="F97" s="2"/>
      <c r="G97" s="16"/>
      <c r="H97" s="1"/>
      <c r="I97" s="1"/>
    </row>
    <row r="98" spans="2:9" ht="15" customHeight="1" x14ac:dyDescent="0.25">
      <c r="B98" s="8">
        <v>3</v>
      </c>
      <c r="C98" s="1"/>
      <c r="D98" s="1"/>
      <c r="E98" s="1"/>
      <c r="F98" s="2"/>
      <c r="G98" s="16"/>
      <c r="H98" s="1"/>
      <c r="I98" s="1"/>
    </row>
    <row r="99" spans="2:9" ht="15" customHeight="1" x14ac:dyDescent="0.25">
      <c r="B99" s="8">
        <v>4</v>
      </c>
      <c r="C99" s="1"/>
      <c r="D99" s="23"/>
      <c r="E99" s="1"/>
      <c r="F99" s="2"/>
      <c r="G99" s="2"/>
      <c r="H99" s="1"/>
      <c r="I99" s="1"/>
    </row>
    <row r="100" spans="2:9" ht="15" customHeight="1" x14ac:dyDescent="0.25">
      <c r="B100" s="8">
        <v>5</v>
      </c>
      <c r="C100" s="1"/>
      <c r="D100" s="1"/>
      <c r="E100" s="1"/>
      <c r="F100" s="2"/>
      <c r="G100" s="2"/>
      <c r="H100" s="1"/>
      <c r="I100" s="1"/>
    </row>
    <row r="101" spans="2:9" ht="15" customHeight="1" x14ac:dyDescent="0.25">
      <c r="B101" s="8">
        <v>6</v>
      </c>
      <c r="C101" s="1"/>
      <c r="D101" s="1"/>
      <c r="E101" s="1"/>
      <c r="F101" s="2"/>
      <c r="G101" s="2"/>
      <c r="H101" s="1"/>
      <c r="I101" s="1"/>
    </row>
    <row r="102" spans="2:9" ht="15" customHeight="1" x14ac:dyDescent="0.25">
      <c r="B102" s="8">
        <v>7</v>
      </c>
      <c r="C102" s="1"/>
      <c r="D102" s="1"/>
      <c r="E102" s="23"/>
      <c r="F102" s="18"/>
      <c r="G102" s="18"/>
      <c r="H102" s="1"/>
      <c r="I102" s="1"/>
    </row>
    <row r="103" spans="2:9" ht="15" customHeight="1" thickBot="1" x14ac:dyDescent="0.3">
      <c r="B103" s="92" t="s">
        <v>18</v>
      </c>
      <c r="C103" s="93"/>
      <c r="D103" s="93"/>
      <c r="E103" s="93"/>
      <c r="F103" s="7">
        <f>SUM(F94:F102)</f>
        <v>0</v>
      </c>
      <c r="G103" s="7">
        <f>SUM(G95:G100)</f>
        <v>0</v>
      </c>
      <c r="H103" s="93"/>
      <c r="I103" s="94"/>
    </row>
    <row r="104" spans="2:9" ht="15" customHeight="1" thickBot="1" x14ac:dyDescent="0.3"/>
    <row r="105" spans="2:9" ht="15" customHeight="1" thickBot="1" x14ac:dyDescent="0.3">
      <c r="B105" s="95" t="s">
        <v>22</v>
      </c>
      <c r="C105" s="96"/>
      <c r="D105" s="10" t="s">
        <v>23</v>
      </c>
      <c r="E105" s="10" t="s">
        <v>24</v>
      </c>
      <c r="F105" s="19" t="s">
        <v>25</v>
      </c>
      <c r="G105" s="19"/>
      <c r="H105" s="11"/>
      <c r="I105" s="12" t="s">
        <v>18</v>
      </c>
    </row>
    <row r="106" spans="2:9" ht="15" customHeight="1" thickTop="1" thickBot="1" x14ac:dyDescent="0.3">
      <c r="B106" s="101">
        <v>0</v>
      </c>
      <c r="C106" s="102"/>
      <c r="D106" s="13">
        <v>0</v>
      </c>
      <c r="E106" s="13">
        <v>0</v>
      </c>
      <c r="F106" s="97">
        <v>0</v>
      </c>
      <c r="G106" s="97"/>
      <c r="H106" s="97"/>
      <c r="I106" s="14">
        <f>F106+E106+D106+C106</f>
        <v>0</v>
      </c>
    </row>
    <row r="108" spans="2:9" x14ac:dyDescent="0.25">
      <c r="B108" t="s">
        <v>21</v>
      </c>
    </row>
    <row r="110" spans="2:9" ht="17.25" x14ac:dyDescent="0.3">
      <c r="B110" s="3" t="s">
        <v>20</v>
      </c>
      <c r="C110" s="9" t="s">
        <v>19</v>
      </c>
      <c r="D110" s="9"/>
      <c r="E110" s="9" t="s">
        <v>9</v>
      </c>
      <c r="F110" s="3" t="s">
        <v>10</v>
      </c>
      <c r="G110" s="3" t="s">
        <v>11</v>
      </c>
      <c r="H110" s="99" t="s">
        <v>5</v>
      </c>
      <c r="I110" s="100"/>
    </row>
    <row r="111" spans="2:9" x14ac:dyDescent="0.25">
      <c r="B111" s="8">
        <v>1</v>
      </c>
      <c r="C111" s="15" t="s">
        <v>17</v>
      </c>
      <c r="D111" s="1" t="s">
        <v>199</v>
      </c>
      <c r="E111" s="1"/>
      <c r="F111" s="1"/>
      <c r="G111" s="1"/>
      <c r="H111" s="98"/>
      <c r="I111" s="98"/>
    </row>
    <row r="112" spans="2:9" x14ac:dyDescent="0.25">
      <c r="B112" s="8">
        <v>2</v>
      </c>
      <c r="C112" s="8" t="s">
        <v>14</v>
      </c>
      <c r="D112" s="1" t="s">
        <v>202</v>
      </c>
      <c r="E112" s="1"/>
      <c r="F112" s="1"/>
      <c r="G112" s="1"/>
      <c r="H112" s="98"/>
      <c r="I112" s="98"/>
    </row>
    <row r="113" spans="2:9" x14ac:dyDescent="0.25">
      <c r="B113" s="8">
        <v>3</v>
      </c>
      <c r="C113" s="8" t="s">
        <v>36</v>
      </c>
      <c r="D113" s="1" t="s">
        <v>200</v>
      </c>
      <c r="E113" s="1"/>
      <c r="F113" s="1"/>
      <c r="G113" s="1"/>
      <c r="H113" s="98"/>
      <c r="I113" s="98"/>
    </row>
    <row r="114" spans="2:9" x14ac:dyDescent="0.25">
      <c r="B114" s="8">
        <v>4</v>
      </c>
      <c r="C114" s="8" t="s">
        <v>30</v>
      </c>
      <c r="D114" s="1" t="s">
        <v>201</v>
      </c>
      <c r="E114" s="1"/>
      <c r="F114" s="1"/>
      <c r="G114" s="1"/>
      <c r="H114" s="98"/>
      <c r="I114" s="98"/>
    </row>
    <row r="115" spans="2:9" x14ac:dyDescent="0.25">
      <c r="B115" s="8">
        <v>5</v>
      </c>
      <c r="C115" s="8" t="s">
        <v>16</v>
      </c>
      <c r="D115" s="1" t="s">
        <v>201</v>
      </c>
      <c r="E115" s="1"/>
      <c r="F115" s="1"/>
      <c r="G115" s="1"/>
      <c r="H115" s="98"/>
      <c r="I115" s="98"/>
    </row>
    <row r="116" spans="2:9" x14ac:dyDescent="0.25">
      <c r="B116" s="8">
        <v>6</v>
      </c>
      <c r="C116" s="8" t="s">
        <v>31</v>
      </c>
      <c r="D116" s="1" t="s">
        <v>201</v>
      </c>
      <c r="E116" s="1"/>
      <c r="F116" s="1"/>
      <c r="G116" s="1"/>
      <c r="H116" s="98"/>
      <c r="I116" s="98"/>
    </row>
    <row r="117" spans="2:9" x14ac:dyDescent="0.25">
      <c r="B117" s="8">
        <v>7</v>
      </c>
      <c r="C117" s="8" t="s">
        <v>35</v>
      </c>
      <c r="D117" s="1" t="s">
        <v>201</v>
      </c>
      <c r="E117" s="1"/>
      <c r="F117" s="1"/>
      <c r="G117" s="1"/>
      <c r="H117" s="98"/>
      <c r="I117" s="98"/>
    </row>
  </sheetData>
  <mergeCells count="25">
    <mergeCell ref="H116:I116"/>
    <mergeCell ref="H117:I117"/>
    <mergeCell ref="H110:I110"/>
    <mergeCell ref="B106:C106"/>
    <mergeCell ref="H115:I115"/>
    <mergeCell ref="H111:I111"/>
    <mergeCell ref="H112:I112"/>
    <mergeCell ref="H113:I113"/>
    <mergeCell ref="H114:I114"/>
    <mergeCell ref="B94:I94"/>
    <mergeCell ref="B103:E103"/>
    <mergeCell ref="H103:I103"/>
    <mergeCell ref="B105:C105"/>
    <mergeCell ref="F106:H106"/>
    <mergeCell ref="B24:I24"/>
    <mergeCell ref="B44:E44"/>
    <mergeCell ref="H44:I44"/>
    <mergeCell ref="B45:I45"/>
    <mergeCell ref="B93:E93"/>
    <mergeCell ref="B5:I5"/>
    <mergeCell ref="B6:C6"/>
    <mergeCell ref="D6:I6"/>
    <mergeCell ref="B7:I7"/>
    <mergeCell ref="B23:E23"/>
    <mergeCell ref="H23:I23"/>
  </mergeCells>
  <conditionalFormatting sqref="D9:D17 D36:D37">
    <cfRule type="expression" priority="57">
      <formula>SEARCH("BILLING DONE", #REF!) &gt; 0</formula>
    </cfRule>
    <cfRule type="expression" dxfId="110" priority="58">
      <formula>SEARCH("NOT BILLED", #REF!) &gt; 0</formula>
    </cfRule>
  </conditionalFormatting>
  <conditionalFormatting sqref="D25:D31 D47:D49 D51:D53">
    <cfRule type="expression" priority="59">
      <formula>SEARCH("BILLING DONE", #REF!) &gt; 0</formula>
    </cfRule>
    <cfRule type="expression" dxfId="109" priority="60">
      <formula>SEARCH("NOT BILLED", #REF!) &gt; 0</formula>
    </cfRule>
  </conditionalFormatting>
  <conditionalFormatting sqref="D50">
    <cfRule type="expression" priority="51">
      <formula>SEARCH("BILLING DONE", $B50) &gt; 0</formula>
    </cfRule>
    <cfRule type="expression" dxfId="108" priority="52">
      <formula>SEARCH("NOT BILLED", $B50) &gt; 0</formula>
    </cfRule>
  </conditionalFormatting>
  <conditionalFormatting sqref="D54">
    <cfRule type="expression" priority="47">
      <formula>SEARCH("BILLING DONE", $B54) &gt; 0</formula>
    </cfRule>
    <cfRule type="expression" dxfId="107" priority="48">
      <formula>SEARCH("NOT BILLED", $B54) &gt; 0</formula>
    </cfRule>
  </conditionalFormatting>
  <conditionalFormatting sqref="D58">
    <cfRule type="expression" priority="43">
      <formula>SEARCH("BILLING DONE", $B58) &gt; 0</formula>
    </cfRule>
    <cfRule type="expression" dxfId="106" priority="44">
      <formula>SEARCH("NOT BILLED", $B58) &gt; 0</formula>
    </cfRule>
  </conditionalFormatting>
  <conditionalFormatting sqref="D61">
    <cfRule type="expression" priority="39">
      <formula>SEARCH("BILLING DONE", $B61) &gt; 0</formula>
    </cfRule>
    <cfRule type="expression" dxfId="105" priority="40">
      <formula>SEARCH("NOT BILLED", $B61) &gt; 0</formula>
    </cfRule>
  </conditionalFormatting>
  <conditionalFormatting sqref="D62">
    <cfRule type="expression" priority="77">
      <formula>SEARCH("BILLING DONE", #REF!) &gt; 0</formula>
    </cfRule>
    <cfRule type="expression" dxfId="104" priority="78">
      <formula>SEARCH("NOT BILLED", #REF!) &gt; 0</formula>
    </cfRule>
  </conditionalFormatting>
  <conditionalFormatting sqref="D64">
    <cfRule type="expression" priority="35">
      <formula>SEARCH("BILLING DONE", $B64) &gt; 0</formula>
    </cfRule>
    <cfRule type="expression" dxfId="103" priority="36">
      <formula>SEARCH("NOT BILLED", $B64) &gt; 0</formula>
    </cfRule>
  </conditionalFormatting>
  <conditionalFormatting sqref="D67">
    <cfRule type="expression" priority="31">
      <formula>SEARCH("BILLING DONE", $B67) &gt; 0</formula>
    </cfRule>
    <cfRule type="expression" dxfId="102" priority="32">
      <formula>SEARCH("NOT BILLED", $B67) &gt; 0</formula>
    </cfRule>
  </conditionalFormatting>
  <conditionalFormatting sqref="D70">
    <cfRule type="expression" priority="27">
      <formula>SEARCH("BILLING DONE", $B70) &gt; 0</formula>
    </cfRule>
    <cfRule type="expression" dxfId="101" priority="28">
      <formula>SEARCH("NOT BILLED", $B70) &gt; 0</formula>
    </cfRule>
  </conditionalFormatting>
  <conditionalFormatting sqref="D73">
    <cfRule type="expression" priority="23">
      <formula>SEARCH("BILLING DONE", $B73) &gt; 0</formula>
    </cfRule>
    <cfRule type="expression" dxfId="100" priority="24">
      <formula>SEARCH("NOT BILLED", $B73) &gt; 0</formula>
    </cfRule>
  </conditionalFormatting>
  <conditionalFormatting sqref="D78">
    <cfRule type="expression" priority="15">
      <formula>SEARCH("BILLING DONE", $B78) &gt; 0</formula>
    </cfRule>
    <cfRule type="expression" dxfId="99" priority="16">
      <formula>SEARCH("NOT BILLED", $B78) &gt; 0</formula>
    </cfRule>
  </conditionalFormatting>
  <conditionalFormatting sqref="D81">
    <cfRule type="expression" priority="11">
      <formula>SEARCH("BILLING DONE", $B81) &gt; 0</formula>
    </cfRule>
    <cfRule type="expression" dxfId="98" priority="12">
      <formula>SEARCH("NOT BILLED", $B81) &gt; 0</formula>
    </cfRule>
  </conditionalFormatting>
  <conditionalFormatting sqref="D76:E76">
    <cfRule type="expression" priority="17">
      <formula>SEARCH("BILLING DONE", $B76) &gt; 0</formula>
    </cfRule>
    <cfRule type="expression" dxfId="97" priority="18">
      <formula>SEARCH("NOT BILLED", $B76) &gt; 0</formula>
    </cfRule>
  </conditionalFormatting>
  <conditionalFormatting sqref="D85:E85">
    <cfRule type="expression" priority="3">
      <formula>SEARCH("BILLING DONE", $B85) &gt; 0</formula>
    </cfRule>
    <cfRule type="expression" dxfId="96" priority="4">
      <formula>SEARCH("NOT BILLED", $B85) &gt; 0</formula>
    </cfRule>
  </conditionalFormatting>
  <conditionalFormatting sqref="D87:E87">
    <cfRule type="expression" priority="1">
      <formula>SEARCH("BILLING DONE", $B87) &gt; 0</formula>
    </cfRule>
    <cfRule type="expression" dxfId="95" priority="2">
      <formula>SEARCH("NOT BILLED", $B87) &gt; 0</formula>
    </cfRule>
  </conditionalFormatting>
  <conditionalFormatting sqref="D95:E95">
    <cfRule type="expression" priority="85">
      <formula>SEARCH("BILLING DONE", $B95) &gt; 0</formula>
    </cfRule>
    <cfRule type="expression" dxfId="94" priority="86">
      <formula>SEARCH("NOT BILLED", $B95) &gt; 0</formula>
    </cfRule>
  </conditionalFormatting>
  <conditionalFormatting sqref="E46:E48">
    <cfRule type="expression" priority="53">
      <formula>SEARCH("BILLING DONE", $B46) &gt; 0</formula>
    </cfRule>
    <cfRule type="expression" dxfId="93" priority="54">
      <formula>SEARCH("NOT BILLED", $B46) &gt; 0</formula>
    </cfRule>
  </conditionalFormatting>
  <conditionalFormatting sqref="E50:E52">
    <cfRule type="expression" priority="49">
      <formula>SEARCH("BILLING DONE", $B50) &gt; 0</formula>
    </cfRule>
    <cfRule type="expression" dxfId="92" priority="50">
      <formula>SEARCH("NOT BILLED", $B50) &gt; 0</formula>
    </cfRule>
  </conditionalFormatting>
  <conditionalFormatting sqref="E54:E56">
    <cfRule type="expression" priority="45">
      <formula>SEARCH("BILLING DONE", $B54) &gt; 0</formula>
    </cfRule>
    <cfRule type="expression" dxfId="91" priority="46">
      <formula>SEARCH("NOT BILLED", $B54) &gt; 0</formula>
    </cfRule>
  </conditionalFormatting>
  <conditionalFormatting sqref="E58:E59">
    <cfRule type="expression" priority="41">
      <formula>SEARCH("BILLING DONE", $B58) &gt; 0</formula>
    </cfRule>
    <cfRule type="expression" dxfId="90" priority="42">
      <formula>SEARCH("NOT BILLED", $B58) &gt; 0</formula>
    </cfRule>
  </conditionalFormatting>
  <conditionalFormatting sqref="E61:E62">
    <cfRule type="expression" priority="37">
      <formula>SEARCH("BILLING DONE", $B61) &gt; 0</formula>
    </cfRule>
    <cfRule type="expression" dxfId="89" priority="38">
      <formula>SEARCH("NOT BILLED", $B61) &gt; 0</formula>
    </cfRule>
  </conditionalFormatting>
  <conditionalFormatting sqref="E64:E65">
    <cfRule type="expression" priority="33">
      <formula>SEARCH("BILLING DONE", $B64) &gt; 0</formula>
    </cfRule>
    <cfRule type="expression" dxfId="88" priority="34">
      <formula>SEARCH("NOT BILLED", $B64) &gt; 0</formula>
    </cfRule>
  </conditionalFormatting>
  <conditionalFormatting sqref="E67:E68">
    <cfRule type="expression" priority="29">
      <formula>SEARCH("BILLING DONE", $B67) &gt; 0</formula>
    </cfRule>
    <cfRule type="expression" dxfId="87" priority="30">
      <formula>SEARCH("NOT BILLED", $B67) &gt; 0</formula>
    </cfRule>
  </conditionalFormatting>
  <conditionalFormatting sqref="E70:E71">
    <cfRule type="expression" priority="25">
      <formula>SEARCH("BILLING DONE", $B70) &gt; 0</formula>
    </cfRule>
    <cfRule type="expression" dxfId="86" priority="26">
      <formula>SEARCH("NOT BILLED", $B70) &gt; 0</formula>
    </cfRule>
  </conditionalFormatting>
  <conditionalFormatting sqref="E73:E74">
    <cfRule type="expression" priority="21">
      <formula>SEARCH("BILLING DONE", $B73) &gt; 0</formula>
    </cfRule>
    <cfRule type="expression" dxfId="85" priority="22">
      <formula>SEARCH("NOT BILLED", $B73) &gt; 0</formula>
    </cfRule>
  </conditionalFormatting>
  <conditionalFormatting sqref="E78:E79">
    <cfRule type="expression" priority="13">
      <formula>SEARCH("BILLING DONE", $B78) &gt; 0</formula>
    </cfRule>
    <cfRule type="expression" dxfId="84" priority="14">
      <formula>SEARCH("NOT BILLED", $B78) &gt; 0</formula>
    </cfRule>
  </conditionalFormatting>
  <conditionalFormatting sqref="E81:E83">
    <cfRule type="expression" priority="9">
      <formula>SEARCH("BILLING DONE", $B81) &gt; 0</formula>
    </cfRule>
    <cfRule type="expression" dxfId="83" priority="10">
      <formula>SEARCH("NOT BILLED", $B81) &gt; 0</formula>
    </cfRule>
  </conditionalFormatting>
  <pageMargins left="0.70866141732283472" right="0.70866141732283472" top="0.74803149606299213" bottom="0.74803149606299213" header="0.31496062992125984" footer="0.31496062992125984"/>
  <pageSetup paperSize="8" scale="31" orientation="landscape" horizontalDpi="1200" verticalDpi="1200" r:id="rId1"/>
  <colBreaks count="1" manualBreakCount="1">
    <brk id="9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496"/>
  <sheetViews>
    <sheetView tabSelected="1" topLeftCell="A169" zoomScale="85" zoomScaleNormal="85" workbookViewId="0">
      <selection activeCell="B3" sqref="B3"/>
    </sheetView>
  </sheetViews>
  <sheetFormatPr defaultRowHeight="15" x14ac:dyDescent="0.25"/>
  <cols>
    <col min="1" max="1" width="56.7109375" style="30" customWidth="1"/>
    <col min="2" max="2" width="59.28515625" style="30" customWidth="1"/>
    <col min="3" max="3" width="23.42578125" style="30" customWidth="1"/>
    <col min="4" max="4" width="20.7109375" style="30" bestFit="1" customWidth="1"/>
    <col min="5" max="5" width="24.28515625" style="30" customWidth="1"/>
    <col min="6" max="6" width="18.140625" style="30" customWidth="1"/>
    <col min="7" max="7" width="22.5703125" style="30" customWidth="1"/>
    <col min="8" max="8" width="32.85546875" style="30" bestFit="1" customWidth="1"/>
    <col min="9" max="9" width="18" style="30" customWidth="1"/>
    <col min="10" max="10" width="18.85546875" style="30" bestFit="1" customWidth="1"/>
    <col min="11" max="11" width="43.7109375" style="30" bestFit="1" customWidth="1"/>
    <col min="12" max="16384" width="9.140625" style="30"/>
  </cols>
  <sheetData>
    <row r="1" spans="1:11" ht="15" customHeight="1" x14ac:dyDescent="0.25">
      <c r="A1" s="71" t="s">
        <v>408</v>
      </c>
      <c r="B1" s="72"/>
      <c r="C1" s="72"/>
      <c r="D1" s="72"/>
      <c r="E1" s="72"/>
      <c r="F1" s="72"/>
      <c r="G1"/>
      <c r="H1"/>
      <c r="I1"/>
      <c r="J1"/>
      <c r="K1"/>
    </row>
    <row r="2" spans="1:11" ht="15.75" customHeight="1" thickBot="1" x14ac:dyDescent="0.3">
      <c r="A2" s="73"/>
      <c r="B2" s="74"/>
      <c r="C2" s="74"/>
      <c r="D2" s="74"/>
      <c r="E2" s="74"/>
      <c r="F2" s="74"/>
      <c r="G2"/>
      <c r="H2"/>
      <c r="I2"/>
      <c r="J2"/>
      <c r="K2"/>
    </row>
    <row r="3" spans="1:11" ht="16.5" thickBot="1" x14ac:dyDescent="0.3">
      <c r="A3" s="32" t="s">
        <v>64</v>
      </c>
      <c r="B3" s="32" t="s">
        <v>409</v>
      </c>
      <c r="C3" s="33" t="s">
        <v>65</v>
      </c>
      <c r="D3" s="34" t="s">
        <v>214</v>
      </c>
      <c r="E3" s="33" t="s">
        <v>66</v>
      </c>
      <c r="F3" s="33" t="s">
        <v>67</v>
      </c>
    </row>
    <row r="4" spans="1:11" ht="15.75" x14ac:dyDescent="0.25">
      <c r="A4" s="35"/>
      <c r="B4" s="35"/>
      <c r="C4" s="36"/>
      <c r="D4" s="36"/>
      <c r="E4" s="37"/>
      <c r="F4" s="36"/>
    </row>
    <row r="5" spans="1:11" x14ac:dyDescent="0.25">
      <c r="A5" s="26" t="s">
        <v>73</v>
      </c>
      <c r="B5" s="38" t="s">
        <v>79</v>
      </c>
      <c r="C5" s="39" t="s">
        <v>60</v>
      </c>
      <c r="D5" s="39">
        <v>46357</v>
      </c>
      <c r="E5" s="41" t="s">
        <v>33</v>
      </c>
      <c r="F5" s="31" t="s">
        <v>13</v>
      </c>
    </row>
    <row r="6" spans="1:11" x14ac:dyDescent="0.25">
      <c r="A6" s="26"/>
      <c r="B6" s="38" t="s">
        <v>93</v>
      </c>
      <c r="C6" s="39" t="s">
        <v>60</v>
      </c>
      <c r="D6" s="39" t="s">
        <v>95</v>
      </c>
      <c r="E6" s="41" t="s">
        <v>33</v>
      </c>
      <c r="F6" s="31" t="s">
        <v>49</v>
      </c>
    </row>
    <row r="7" spans="1:11" x14ac:dyDescent="0.25">
      <c r="A7" s="26"/>
      <c r="B7" s="38" t="s">
        <v>94</v>
      </c>
      <c r="C7" s="39" t="s">
        <v>60</v>
      </c>
      <c r="D7" s="39">
        <v>46175</v>
      </c>
      <c r="E7" s="41" t="s">
        <v>33</v>
      </c>
      <c r="F7" s="31" t="s">
        <v>49</v>
      </c>
    </row>
    <row r="8" spans="1:11" x14ac:dyDescent="0.25">
      <c r="A8" s="42"/>
      <c r="B8" s="43"/>
      <c r="C8" s="45"/>
      <c r="D8" s="44"/>
      <c r="E8" s="47"/>
      <c r="F8" s="46"/>
    </row>
    <row r="9" spans="1:11" x14ac:dyDescent="0.25">
      <c r="A9" s="26" t="s">
        <v>84</v>
      </c>
      <c r="B9" s="38" t="s">
        <v>79</v>
      </c>
      <c r="C9" s="39" t="s">
        <v>60</v>
      </c>
      <c r="D9" s="39" t="s">
        <v>78</v>
      </c>
      <c r="E9" s="41" t="s">
        <v>410</v>
      </c>
      <c r="F9" s="31" t="s">
        <v>96</v>
      </c>
    </row>
    <row r="10" spans="1:11" x14ac:dyDescent="0.25">
      <c r="A10" s="26"/>
      <c r="B10" s="38" t="s">
        <v>85</v>
      </c>
      <c r="C10" s="39" t="s">
        <v>60</v>
      </c>
      <c r="D10" s="39" t="s">
        <v>91</v>
      </c>
      <c r="E10" s="41" t="s">
        <v>410</v>
      </c>
      <c r="F10" s="31" t="s">
        <v>96</v>
      </c>
    </row>
    <row r="11" spans="1:11" x14ac:dyDescent="0.25">
      <c r="A11" s="26"/>
      <c r="B11" s="38" t="s">
        <v>86</v>
      </c>
      <c r="C11" s="39" t="s">
        <v>60</v>
      </c>
      <c r="D11" s="39" t="s">
        <v>91</v>
      </c>
      <c r="E11" s="41" t="s">
        <v>410</v>
      </c>
      <c r="F11" s="31" t="s">
        <v>96</v>
      </c>
    </row>
    <row r="12" spans="1:11" x14ac:dyDescent="0.25">
      <c r="A12" s="26"/>
      <c r="B12" s="38" t="s">
        <v>87</v>
      </c>
      <c r="C12" s="39" t="s">
        <v>60</v>
      </c>
      <c r="D12" s="39" t="s">
        <v>92</v>
      </c>
      <c r="E12" s="41" t="s">
        <v>33</v>
      </c>
      <c r="F12" s="31" t="s">
        <v>96</v>
      </c>
    </row>
    <row r="13" spans="1:11" x14ac:dyDescent="0.25">
      <c r="A13" s="26"/>
      <c r="B13" s="38" t="s">
        <v>88</v>
      </c>
      <c r="C13" s="39" t="s">
        <v>60</v>
      </c>
      <c r="D13" s="39" t="s">
        <v>92</v>
      </c>
      <c r="E13" s="41" t="s">
        <v>33</v>
      </c>
      <c r="F13" s="31" t="s">
        <v>96</v>
      </c>
    </row>
    <row r="14" spans="1:11" x14ac:dyDescent="0.25">
      <c r="A14" s="26"/>
      <c r="B14" s="38" t="s">
        <v>89</v>
      </c>
      <c r="C14" s="39" t="s">
        <v>60</v>
      </c>
      <c r="D14" s="39" t="s">
        <v>92</v>
      </c>
      <c r="E14" s="41" t="s">
        <v>33</v>
      </c>
      <c r="F14" s="31" t="s">
        <v>96</v>
      </c>
    </row>
    <row r="15" spans="1:11" x14ac:dyDescent="0.25">
      <c r="A15" s="26"/>
      <c r="B15" s="38" t="s">
        <v>313</v>
      </c>
      <c r="C15" s="39" t="s">
        <v>60</v>
      </c>
      <c r="D15" s="39">
        <v>46028</v>
      </c>
      <c r="E15" s="41" t="s">
        <v>35</v>
      </c>
      <c r="F15" s="31" t="s">
        <v>14</v>
      </c>
    </row>
    <row r="16" spans="1:11" x14ac:dyDescent="0.25">
      <c r="A16" s="42"/>
      <c r="B16" s="43"/>
      <c r="C16" s="45"/>
      <c r="D16" s="44"/>
      <c r="E16" s="47"/>
      <c r="F16" s="46"/>
    </row>
    <row r="17" spans="1:6" x14ac:dyDescent="0.25">
      <c r="A17" s="26" t="s">
        <v>114</v>
      </c>
      <c r="B17" s="38" t="s">
        <v>29</v>
      </c>
      <c r="C17" s="39" t="s">
        <v>60</v>
      </c>
      <c r="D17" s="39" t="s">
        <v>78</v>
      </c>
      <c r="E17" s="41" t="s">
        <v>15</v>
      </c>
      <c r="F17" s="31" t="s">
        <v>13</v>
      </c>
    </row>
    <row r="18" spans="1:6" x14ac:dyDescent="0.25">
      <c r="A18" s="26"/>
      <c r="B18" s="38" t="s">
        <v>51</v>
      </c>
      <c r="C18" s="39" t="s">
        <v>60</v>
      </c>
      <c r="D18" s="39" t="s">
        <v>113</v>
      </c>
      <c r="E18" s="41" t="s">
        <v>83</v>
      </c>
      <c r="F18" s="31" t="s">
        <v>96</v>
      </c>
    </row>
    <row r="19" spans="1:6" x14ac:dyDescent="0.25">
      <c r="A19" s="26"/>
      <c r="B19" s="38" t="s">
        <v>110</v>
      </c>
      <c r="C19" s="39" t="s">
        <v>60</v>
      </c>
      <c r="D19" s="39" t="s">
        <v>71</v>
      </c>
      <c r="E19" s="41" t="s">
        <v>83</v>
      </c>
      <c r="F19" s="31" t="s">
        <v>96</v>
      </c>
    </row>
    <row r="20" spans="1:6" x14ac:dyDescent="0.25">
      <c r="A20" s="26"/>
      <c r="B20" s="38" t="s">
        <v>111</v>
      </c>
      <c r="C20" s="39" t="s">
        <v>60</v>
      </c>
      <c r="D20" s="39" t="s">
        <v>71</v>
      </c>
      <c r="E20" s="41" t="s">
        <v>83</v>
      </c>
      <c r="F20" s="31" t="s">
        <v>96</v>
      </c>
    </row>
    <row r="21" spans="1:6" x14ac:dyDescent="0.25">
      <c r="A21" s="42"/>
      <c r="B21" s="43"/>
      <c r="C21" s="45"/>
      <c r="D21" s="44"/>
      <c r="E21" s="47"/>
      <c r="F21" s="46"/>
    </row>
    <row r="22" spans="1:6" x14ac:dyDescent="0.25">
      <c r="A22" s="26" t="s">
        <v>68</v>
      </c>
      <c r="B22" s="38" t="s">
        <v>79</v>
      </c>
      <c r="C22" s="39" t="s">
        <v>60</v>
      </c>
      <c r="D22" s="39" t="s">
        <v>74</v>
      </c>
      <c r="E22" s="41" t="s">
        <v>402</v>
      </c>
      <c r="F22" s="31" t="s">
        <v>96</v>
      </c>
    </row>
    <row r="23" spans="1:6" x14ac:dyDescent="0.25">
      <c r="A23" s="26"/>
      <c r="B23" s="38" t="s">
        <v>115</v>
      </c>
      <c r="C23" s="39" t="s">
        <v>60</v>
      </c>
      <c r="D23" s="39">
        <v>46083</v>
      </c>
      <c r="E23" s="41" t="s">
        <v>402</v>
      </c>
      <c r="F23" s="31" t="s">
        <v>96</v>
      </c>
    </row>
    <row r="24" spans="1:6" x14ac:dyDescent="0.25">
      <c r="A24" s="26"/>
      <c r="B24" s="38" t="s">
        <v>116</v>
      </c>
      <c r="C24" s="39" t="s">
        <v>60</v>
      </c>
      <c r="D24" s="39" t="s">
        <v>118</v>
      </c>
      <c r="E24" s="41" t="s">
        <v>31</v>
      </c>
      <c r="F24" s="31" t="s">
        <v>96</v>
      </c>
    </row>
    <row r="25" spans="1:6" x14ac:dyDescent="0.25">
      <c r="A25" s="26"/>
      <c r="B25" s="38" t="s">
        <v>117</v>
      </c>
      <c r="C25" s="39" t="s">
        <v>60</v>
      </c>
      <c r="D25" s="39">
        <v>46056</v>
      </c>
      <c r="E25" s="41" t="s">
        <v>119</v>
      </c>
      <c r="F25" s="31" t="s">
        <v>96</v>
      </c>
    </row>
    <row r="26" spans="1:6" x14ac:dyDescent="0.25">
      <c r="A26" s="42"/>
      <c r="B26" s="43"/>
      <c r="C26" s="45"/>
      <c r="D26" s="44"/>
      <c r="E26" s="47"/>
      <c r="F26" s="46"/>
    </row>
    <row r="27" spans="1:6" x14ac:dyDescent="0.25">
      <c r="A27" s="26" t="s">
        <v>77</v>
      </c>
      <c r="B27" s="38" t="s">
        <v>79</v>
      </c>
      <c r="C27" s="39" t="s">
        <v>60</v>
      </c>
      <c r="D27" s="39" t="s">
        <v>90</v>
      </c>
      <c r="E27" s="41" t="s">
        <v>83</v>
      </c>
      <c r="F27" s="31" t="s">
        <v>13</v>
      </c>
    </row>
    <row r="28" spans="1:6" x14ac:dyDescent="0.25">
      <c r="A28" s="26"/>
      <c r="B28" s="38" t="s">
        <v>80</v>
      </c>
      <c r="C28" s="39" t="s">
        <v>60</v>
      </c>
      <c r="D28" s="39" t="s">
        <v>82</v>
      </c>
      <c r="E28" s="41" t="s">
        <v>83</v>
      </c>
      <c r="F28" s="31" t="s">
        <v>13</v>
      </c>
    </row>
    <row r="29" spans="1:6" x14ac:dyDescent="0.25">
      <c r="A29" s="26"/>
      <c r="B29" s="38" t="s">
        <v>81</v>
      </c>
      <c r="C29" s="39" t="s">
        <v>60</v>
      </c>
      <c r="D29" s="39" t="s">
        <v>82</v>
      </c>
      <c r="E29" s="41" t="s">
        <v>83</v>
      </c>
      <c r="F29" s="31" t="s">
        <v>13</v>
      </c>
    </row>
    <row r="30" spans="1:6" x14ac:dyDescent="0.25">
      <c r="A30" s="42"/>
      <c r="B30" s="43"/>
      <c r="C30" s="45"/>
      <c r="D30" s="44"/>
      <c r="E30" s="47"/>
      <c r="F30" s="46"/>
    </row>
    <row r="31" spans="1:6" x14ac:dyDescent="0.25">
      <c r="A31" s="26" t="s">
        <v>97</v>
      </c>
      <c r="B31" s="38" t="s">
        <v>98</v>
      </c>
      <c r="C31" s="39" t="s">
        <v>60</v>
      </c>
      <c r="D31" s="39" t="s">
        <v>104</v>
      </c>
      <c r="E31" s="41" t="s">
        <v>35</v>
      </c>
      <c r="F31" s="31" t="s">
        <v>49</v>
      </c>
    </row>
    <row r="32" spans="1:6" x14ac:dyDescent="0.25">
      <c r="A32" s="26"/>
      <c r="B32" s="38" t="s">
        <v>99</v>
      </c>
      <c r="C32" s="39" t="s">
        <v>60</v>
      </c>
      <c r="D32" s="39" t="s">
        <v>105</v>
      </c>
      <c r="E32" s="41" t="s">
        <v>35</v>
      </c>
      <c r="F32" s="31" t="s">
        <v>108</v>
      </c>
    </row>
    <row r="33" spans="1:6" x14ac:dyDescent="0.25">
      <c r="A33" s="26"/>
      <c r="B33" s="38" t="s">
        <v>100</v>
      </c>
      <c r="C33" s="39" t="s">
        <v>60</v>
      </c>
      <c r="D33" s="39" t="s">
        <v>105</v>
      </c>
      <c r="E33" s="41" t="s">
        <v>33</v>
      </c>
      <c r="F33" s="31" t="s">
        <v>49</v>
      </c>
    </row>
    <row r="34" spans="1:6" x14ac:dyDescent="0.25">
      <c r="A34" s="26"/>
      <c r="B34" s="38" t="s">
        <v>101</v>
      </c>
      <c r="C34" s="39" t="s">
        <v>60</v>
      </c>
      <c r="D34" s="39" t="s">
        <v>104</v>
      </c>
      <c r="E34" s="41" t="s">
        <v>35</v>
      </c>
      <c r="F34" s="31" t="s">
        <v>49</v>
      </c>
    </row>
    <row r="35" spans="1:6" x14ac:dyDescent="0.25">
      <c r="A35" s="26"/>
      <c r="B35" s="38" t="s">
        <v>102</v>
      </c>
      <c r="C35" s="39" t="s">
        <v>60</v>
      </c>
      <c r="D35" s="39" t="s">
        <v>106</v>
      </c>
      <c r="E35" s="41" t="s">
        <v>35</v>
      </c>
      <c r="F35" s="31" t="s">
        <v>49</v>
      </c>
    </row>
    <row r="36" spans="1:6" x14ac:dyDescent="0.25">
      <c r="A36" s="26"/>
      <c r="B36" s="38" t="s">
        <v>103</v>
      </c>
      <c r="C36" s="39" t="s">
        <v>60</v>
      </c>
      <c r="D36" s="39" t="s">
        <v>107</v>
      </c>
      <c r="E36" s="41" t="s">
        <v>35</v>
      </c>
      <c r="F36" s="31" t="s">
        <v>49</v>
      </c>
    </row>
    <row r="37" spans="1:6" x14ac:dyDescent="0.25">
      <c r="A37" s="42"/>
      <c r="B37" s="43"/>
      <c r="C37" s="45"/>
      <c r="D37" s="44"/>
      <c r="E37" s="47"/>
      <c r="F37" s="46"/>
    </row>
    <row r="38" spans="1:6" x14ac:dyDescent="0.25">
      <c r="A38" s="26" t="s">
        <v>109</v>
      </c>
      <c r="B38" s="38" t="s">
        <v>29</v>
      </c>
      <c r="C38" s="39" t="s">
        <v>60</v>
      </c>
      <c r="D38" s="39" t="s">
        <v>76</v>
      </c>
      <c r="E38" s="41" t="s">
        <v>15</v>
      </c>
      <c r="F38" s="31" t="s">
        <v>13</v>
      </c>
    </row>
    <row r="39" spans="1:6" x14ac:dyDescent="0.25">
      <c r="A39" s="26"/>
      <c r="B39" s="38" t="s">
        <v>51</v>
      </c>
      <c r="C39" s="39" t="s">
        <v>60</v>
      </c>
      <c r="D39" s="39">
        <v>46084</v>
      </c>
      <c r="E39" s="41" t="s">
        <v>33</v>
      </c>
      <c r="F39" s="31" t="s">
        <v>13</v>
      </c>
    </row>
    <row r="40" spans="1:6" x14ac:dyDescent="0.25">
      <c r="A40" s="26"/>
      <c r="B40" s="38" t="s">
        <v>110</v>
      </c>
      <c r="C40" s="39" t="s">
        <v>60</v>
      </c>
      <c r="D40" s="39">
        <v>46268</v>
      </c>
      <c r="E40" s="41" t="s">
        <v>28</v>
      </c>
      <c r="F40" s="31" t="s">
        <v>13</v>
      </c>
    </row>
    <row r="41" spans="1:6" x14ac:dyDescent="0.25">
      <c r="A41" s="26"/>
      <c r="B41" s="38" t="s">
        <v>111</v>
      </c>
      <c r="C41" s="39" t="s">
        <v>60</v>
      </c>
      <c r="D41" s="39" t="s">
        <v>112</v>
      </c>
      <c r="E41" s="41" t="s">
        <v>33</v>
      </c>
      <c r="F41" s="31" t="s">
        <v>96</v>
      </c>
    </row>
    <row r="42" spans="1:6" x14ac:dyDescent="0.25">
      <c r="A42" s="26"/>
      <c r="B42" s="38" t="s">
        <v>391</v>
      </c>
      <c r="C42" s="39" t="s">
        <v>60</v>
      </c>
      <c r="D42" s="39">
        <v>46199</v>
      </c>
      <c r="E42" s="41" t="s">
        <v>33</v>
      </c>
      <c r="F42" s="31" t="s">
        <v>397</v>
      </c>
    </row>
    <row r="43" spans="1:6" x14ac:dyDescent="0.25">
      <c r="A43" s="42"/>
      <c r="B43" s="43"/>
      <c r="C43" s="45"/>
      <c r="D43" s="44"/>
      <c r="E43" s="47"/>
      <c r="F43" s="46"/>
    </row>
    <row r="44" spans="1:6" x14ac:dyDescent="0.25">
      <c r="A44" s="26" t="s">
        <v>219</v>
      </c>
      <c r="B44" s="38" t="s">
        <v>122</v>
      </c>
      <c r="C44" s="39" t="s">
        <v>60</v>
      </c>
      <c r="D44" s="39" t="s">
        <v>91</v>
      </c>
      <c r="E44" s="41" t="s">
        <v>15</v>
      </c>
      <c r="F44" s="31" t="s">
        <v>49</v>
      </c>
    </row>
    <row r="45" spans="1:6" x14ac:dyDescent="0.25">
      <c r="A45" s="26"/>
      <c r="B45" s="38" t="s">
        <v>126</v>
      </c>
      <c r="C45" s="39" t="s">
        <v>60</v>
      </c>
      <c r="D45" s="39" t="s">
        <v>91</v>
      </c>
      <c r="E45" s="41" t="s">
        <v>15</v>
      </c>
      <c r="F45" s="31" t="s">
        <v>49</v>
      </c>
    </row>
    <row r="46" spans="1:6" x14ac:dyDescent="0.25">
      <c r="A46" s="42"/>
      <c r="B46" s="43"/>
      <c r="C46" s="45"/>
      <c r="D46" s="44"/>
      <c r="E46" s="47"/>
      <c r="F46" s="46"/>
    </row>
    <row r="47" spans="1:6" x14ac:dyDescent="0.25">
      <c r="A47" s="26" t="s">
        <v>69</v>
      </c>
      <c r="B47" s="38" t="s">
        <v>151</v>
      </c>
      <c r="C47" s="39" t="s">
        <v>60</v>
      </c>
      <c r="D47" s="39">
        <v>46114</v>
      </c>
      <c r="E47" s="41" t="s">
        <v>31</v>
      </c>
      <c r="F47" s="31" t="s">
        <v>13</v>
      </c>
    </row>
    <row r="48" spans="1:6" x14ac:dyDescent="0.25">
      <c r="A48" s="26"/>
      <c r="B48" s="38" t="s">
        <v>152</v>
      </c>
      <c r="C48" s="39" t="s">
        <v>60</v>
      </c>
      <c r="D48" s="39" t="s">
        <v>153</v>
      </c>
      <c r="E48" s="41" t="s">
        <v>31</v>
      </c>
      <c r="F48" s="31" t="s">
        <v>13</v>
      </c>
    </row>
    <row r="49" spans="1:6" x14ac:dyDescent="0.25">
      <c r="A49" s="26"/>
      <c r="B49" s="38" t="s">
        <v>110</v>
      </c>
      <c r="C49" s="39" t="s">
        <v>60</v>
      </c>
      <c r="D49" s="39">
        <v>46115</v>
      </c>
      <c r="E49" s="41" t="s">
        <v>31</v>
      </c>
      <c r="F49" s="31" t="s">
        <v>13</v>
      </c>
    </row>
    <row r="50" spans="1:6" x14ac:dyDescent="0.25">
      <c r="A50" s="26"/>
      <c r="B50" s="38" t="s">
        <v>141</v>
      </c>
      <c r="C50" s="39" t="s">
        <v>60</v>
      </c>
      <c r="D50" s="39">
        <v>46176</v>
      </c>
      <c r="E50" s="41" t="s">
        <v>31</v>
      </c>
      <c r="F50" s="31" t="s">
        <v>13</v>
      </c>
    </row>
    <row r="51" spans="1:6" x14ac:dyDescent="0.25">
      <c r="A51" s="42"/>
      <c r="B51" s="43"/>
      <c r="C51" s="45"/>
      <c r="D51" s="44"/>
      <c r="E51" s="47"/>
      <c r="F51" s="46"/>
    </row>
    <row r="52" spans="1:6" x14ac:dyDescent="0.25">
      <c r="A52" s="26" t="s">
        <v>75</v>
      </c>
      <c r="B52" s="38" t="s">
        <v>79</v>
      </c>
      <c r="C52" s="39" t="s">
        <v>60</v>
      </c>
      <c r="D52" s="39">
        <v>46144</v>
      </c>
      <c r="E52" s="41" t="s">
        <v>83</v>
      </c>
      <c r="F52" s="31" t="s">
        <v>13</v>
      </c>
    </row>
    <row r="53" spans="1:6" x14ac:dyDescent="0.25">
      <c r="A53" s="26"/>
      <c r="B53" s="38" t="s">
        <v>120</v>
      </c>
      <c r="C53" s="39" t="s">
        <v>60</v>
      </c>
      <c r="D53" s="39">
        <v>46056</v>
      </c>
      <c r="E53" s="41" t="s">
        <v>83</v>
      </c>
      <c r="F53" s="31" t="s">
        <v>13</v>
      </c>
    </row>
    <row r="54" spans="1:6" x14ac:dyDescent="0.25">
      <c r="A54" s="42"/>
      <c r="B54" s="43"/>
      <c r="C54" s="45"/>
      <c r="D54" s="44"/>
      <c r="E54" s="47"/>
      <c r="F54" s="46"/>
    </row>
    <row r="55" spans="1:6" x14ac:dyDescent="0.25">
      <c r="A55" s="26" t="s">
        <v>58</v>
      </c>
      <c r="B55" s="38" t="s">
        <v>79</v>
      </c>
      <c r="C55" s="39" t="s">
        <v>60</v>
      </c>
      <c r="D55" s="39" t="s">
        <v>113</v>
      </c>
      <c r="E55" s="41" t="s">
        <v>33</v>
      </c>
      <c r="F55" s="31" t="s">
        <v>49</v>
      </c>
    </row>
    <row r="56" spans="1:6" x14ac:dyDescent="0.25">
      <c r="A56" s="26"/>
      <c r="B56" s="38" t="s">
        <v>126</v>
      </c>
      <c r="C56" s="39" t="s">
        <v>60</v>
      </c>
      <c r="D56" s="39" t="s">
        <v>118</v>
      </c>
      <c r="E56" s="41" t="s">
        <v>33</v>
      </c>
      <c r="F56" s="31" t="s">
        <v>49</v>
      </c>
    </row>
    <row r="57" spans="1:6" x14ac:dyDescent="0.25">
      <c r="A57" s="48"/>
      <c r="B57" s="43"/>
      <c r="C57" s="45"/>
      <c r="D57" s="44"/>
      <c r="E57" s="49"/>
      <c r="F57" s="46"/>
    </row>
    <row r="58" spans="1:6" x14ac:dyDescent="0.25">
      <c r="A58" s="26" t="s">
        <v>37</v>
      </c>
      <c r="B58" s="38" t="s">
        <v>131</v>
      </c>
      <c r="C58" s="39" t="s">
        <v>60</v>
      </c>
      <c r="D58" s="39" t="s">
        <v>128</v>
      </c>
      <c r="E58" s="41" t="s">
        <v>410</v>
      </c>
      <c r="F58" s="31" t="s">
        <v>49</v>
      </c>
    </row>
    <row r="59" spans="1:6" x14ac:dyDescent="0.25">
      <c r="A59" s="26"/>
      <c r="B59" s="38" t="s">
        <v>130</v>
      </c>
      <c r="C59" s="39" t="s">
        <v>60</v>
      </c>
      <c r="D59" s="39" t="s">
        <v>70</v>
      </c>
      <c r="E59" s="41" t="s">
        <v>410</v>
      </c>
      <c r="F59" s="31" t="s">
        <v>49</v>
      </c>
    </row>
    <row r="60" spans="1:6" x14ac:dyDescent="0.25">
      <c r="A60" s="26"/>
      <c r="B60" s="38" t="s">
        <v>129</v>
      </c>
      <c r="C60" s="39" t="s">
        <v>60</v>
      </c>
      <c r="D60" s="39">
        <v>46359</v>
      </c>
      <c r="E60" s="41" t="s">
        <v>410</v>
      </c>
      <c r="F60" s="31" t="s">
        <v>13</v>
      </c>
    </row>
    <row r="61" spans="1:6" x14ac:dyDescent="0.25">
      <c r="A61" s="26"/>
      <c r="B61" s="38" t="s">
        <v>132</v>
      </c>
      <c r="C61" s="39" t="s">
        <v>60</v>
      </c>
      <c r="D61" s="39" t="s">
        <v>127</v>
      </c>
      <c r="E61" s="41" t="s">
        <v>410</v>
      </c>
      <c r="F61" s="31" t="s">
        <v>13</v>
      </c>
    </row>
    <row r="62" spans="1:6" x14ac:dyDescent="0.25">
      <c r="A62" s="26"/>
      <c r="B62" s="38" t="s">
        <v>137</v>
      </c>
      <c r="C62" s="39" t="s">
        <v>60</v>
      </c>
      <c r="D62" s="39" t="s">
        <v>133</v>
      </c>
      <c r="E62" s="41" t="s">
        <v>410</v>
      </c>
      <c r="F62" s="31" t="s">
        <v>13</v>
      </c>
    </row>
    <row r="63" spans="1:6" x14ac:dyDescent="0.25">
      <c r="A63" s="26"/>
      <c r="B63" s="38" t="s">
        <v>136</v>
      </c>
      <c r="C63" s="39" t="s">
        <v>60</v>
      </c>
      <c r="D63" s="39" t="s">
        <v>135</v>
      </c>
      <c r="E63" s="41" t="s">
        <v>410</v>
      </c>
      <c r="F63" s="31" t="s">
        <v>13</v>
      </c>
    </row>
    <row r="64" spans="1:6" x14ac:dyDescent="0.25">
      <c r="A64" s="26"/>
      <c r="B64" s="38" t="s">
        <v>134</v>
      </c>
      <c r="C64" s="39" t="s">
        <v>60</v>
      </c>
      <c r="D64" s="39" t="s">
        <v>135</v>
      </c>
      <c r="E64" s="41" t="s">
        <v>410</v>
      </c>
      <c r="F64" s="31" t="s">
        <v>13</v>
      </c>
    </row>
    <row r="65" spans="1:6" x14ac:dyDescent="0.25">
      <c r="A65" s="48"/>
      <c r="B65" s="43"/>
      <c r="C65" s="45"/>
      <c r="D65" s="44"/>
      <c r="E65" s="49"/>
      <c r="F65" s="46"/>
    </row>
    <row r="66" spans="1:6" x14ac:dyDescent="0.25">
      <c r="A66" s="26" t="s">
        <v>121</v>
      </c>
      <c r="B66" s="38" t="s">
        <v>122</v>
      </c>
      <c r="C66" s="39" t="s">
        <v>60</v>
      </c>
      <c r="D66" s="39" t="s">
        <v>71</v>
      </c>
      <c r="E66" s="41" t="s">
        <v>403</v>
      </c>
      <c r="F66" s="31"/>
    </row>
    <row r="67" spans="1:6" x14ac:dyDescent="0.25">
      <c r="A67" s="26"/>
      <c r="B67" s="38" t="s">
        <v>123</v>
      </c>
      <c r="C67" s="39" t="s">
        <v>60</v>
      </c>
      <c r="D67" s="39" t="s">
        <v>124</v>
      </c>
      <c r="E67" s="41" t="s">
        <v>402</v>
      </c>
      <c r="F67" s="31" t="s">
        <v>13</v>
      </c>
    </row>
    <row r="68" spans="1:6" x14ac:dyDescent="0.25">
      <c r="A68" s="48"/>
      <c r="B68" s="43"/>
      <c r="C68" s="45"/>
      <c r="D68" s="44"/>
      <c r="E68" s="49"/>
      <c r="F68" s="46"/>
    </row>
    <row r="69" spans="1:6" x14ac:dyDescent="0.25">
      <c r="A69" s="26" t="s">
        <v>147</v>
      </c>
      <c r="B69" s="38" t="s">
        <v>79</v>
      </c>
      <c r="C69" s="39" t="s">
        <v>60</v>
      </c>
      <c r="D69" s="39" t="s">
        <v>128</v>
      </c>
      <c r="E69" s="41" t="s">
        <v>404</v>
      </c>
      <c r="F69" s="31" t="s">
        <v>108</v>
      </c>
    </row>
    <row r="70" spans="1:6" x14ac:dyDescent="0.25">
      <c r="A70" s="26"/>
      <c r="B70" s="38" t="s">
        <v>110</v>
      </c>
      <c r="C70" s="39" t="s">
        <v>60</v>
      </c>
      <c r="D70" s="39" t="s">
        <v>148</v>
      </c>
      <c r="E70" s="41" t="s">
        <v>206</v>
      </c>
      <c r="F70" s="31" t="s">
        <v>96</v>
      </c>
    </row>
    <row r="71" spans="1:6" x14ac:dyDescent="0.25">
      <c r="A71" s="26"/>
      <c r="B71" s="38" t="s">
        <v>141</v>
      </c>
      <c r="C71" s="39" t="s">
        <v>60</v>
      </c>
      <c r="D71" s="39" t="s">
        <v>144</v>
      </c>
      <c r="E71" s="41" t="s">
        <v>33</v>
      </c>
      <c r="F71" s="31" t="s">
        <v>96</v>
      </c>
    </row>
    <row r="72" spans="1:6" x14ac:dyDescent="0.25">
      <c r="A72" s="48"/>
      <c r="B72" s="43"/>
      <c r="C72" s="45"/>
      <c r="D72" s="44"/>
      <c r="E72" s="49"/>
      <c r="F72" s="46"/>
    </row>
    <row r="73" spans="1:6" x14ac:dyDescent="0.25">
      <c r="A73" s="26" t="s">
        <v>145</v>
      </c>
      <c r="B73" s="38" t="s">
        <v>79</v>
      </c>
      <c r="C73" s="39" t="s">
        <v>60</v>
      </c>
      <c r="D73" s="39" t="s">
        <v>144</v>
      </c>
      <c r="E73" s="41" t="s">
        <v>32</v>
      </c>
      <c r="F73" s="31" t="s">
        <v>13</v>
      </c>
    </row>
    <row r="74" spans="1:6" x14ac:dyDescent="0.25">
      <c r="A74" s="26"/>
      <c r="B74" s="38" t="s">
        <v>132</v>
      </c>
      <c r="C74" s="39" t="s">
        <v>60</v>
      </c>
      <c r="D74" s="39" t="s">
        <v>223</v>
      </c>
      <c r="E74" s="41" t="s">
        <v>32</v>
      </c>
      <c r="F74" s="31" t="s">
        <v>14</v>
      </c>
    </row>
    <row r="75" spans="1:6" x14ac:dyDescent="0.25">
      <c r="A75" s="26"/>
      <c r="B75" s="38" t="s">
        <v>240</v>
      </c>
      <c r="C75" s="39" t="s">
        <v>60</v>
      </c>
      <c r="D75" s="39" t="s">
        <v>223</v>
      </c>
      <c r="E75" s="41" t="s">
        <v>32</v>
      </c>
      <c r="F75" s="31" t="s">
        <v>14</v>
      </c>
    </row>
    <row r="76" spans="1:6" x14ac:dyDescent="0.25">
      <c r="A76" s="26"/>
      <c r="B76" s="38" t="s">
        <v>241</v>
      </c>
      <c r="C76" s="39" t="s">
        <v>60</v>
      </c>
      <c r="D76" s="39" t="s">
        <v>387</v>
      </c>
      <c r="E76" s="41" t="s">
        <v>32</v>
      </c>
      <c r="F76" s="31"/>
    </row>
    <row r="77" spans="1:6" x14ac:dyDescent="0.25">
      <c r="A77" s="42"/>
      <c r="B77" s="43"/>
      <c r="C77" s="45"/>
      <c r="D77" s="44"/>
      <c r="E77" s="47"/>
      <c r="F77" s="46"/>
    </row>
    <row r="78" spans="1:6" x14ac:dyDescent="0.25">
      <c r="A78" s="26" t="s">
        <v>72</v>
      </c>
      <c r="B78" s="38" t="s">
        <v>79</v>
      </c>
      <c r="C78" s="39" t="s">
        <v>60</v>
      </c>
      <c r="D78" s="39">
        <v>46115</v>
      </c>
      <c r="E78" s="41" t="s">
        <v>15</v>
      </c>
      <c r="F78"/>
    </row>
    <row r="79" spans="1:6" x14ac:dyDescent="0.25">
      <c r="A79" s="26"/>
      <c r="B79" s="38" t="s">
        <v>138</v>
      </c>
      <c r="C79" s="39" t="s">
        <v>60</v>
      </c>
      <c r="D79" s="39">
        <v>46115</v>
      </c>
      <c r="E79" s="41" t="s">
        <v>15</v>
      </c>
      <c r="F79"/>
    </row>
    <row r="80" spans="1:6" x14ac:dyDescent="0.25">
      <c r="A80" s="26"/>
      <c r="B80" s="38" t="s">
        <v>140</v>
      </c>
      <c r="C80" s="39" t="s">
        <v>60</v>
      </c>
      <c r="D80" s="39">
        <v>46115</v>
      </c>
      <c r="E80" s="41" t="s">
        <v>15</v>
      </c>
      <c r="F80"/>
    </row>
    <row r="81" spans="1:6" x14ac:dyDescent="0.25">
      <c r="A81" s="26"/>
      <c r="B81" s="38" t="s">
        <v>139</v>
      </c>
      <c r="C81" s="39" t="s">
        <v>60</v>
      </c>
      <c r="D81" s="39">
        <v>46115</v>
      </c>
      <c r="E81" s="41" t="s">
        <v>15</v>
      </c>
      <c r="F81"/>
    </row>
    <row r="82" spans="1:6" x14ac:dyDescent="0.25">
      <c r="A82" s="42"/>
      <c r="B82" s="43"/>
      <c r="C82" s="45"/>
      <c r="D82" s="44"/>
      <c r="E82" s="47"/>
      <c r="F82" s="46"/>
    </row>
    <row r="83" spans="1:6" x14ac:dyDescent="0.25">
      <c r="A83" s="26" t="s">
        <v>39</v>
      </c>
      <c r="B83" s="38" t="s">
        <v>122</v>
      </c>
      <c r="C83" s="39" t="s">
        <v>60</v>
      </c>
      <c r="D83" s="39">
        <v>46084</v>
      </c>
      <c r="E83" s="41" t="s">
        <v>206</v>
      </c>
      <c r="F83" s="31"/>
    </row>
    <row r="84" spans="1:6" x14ac:dyDescent="0.25">
      <c r="A84" s="26"/>
      <c r="B84" s="38" t="s">
        <v>110</v>
      </c>
      <c r="C84" s="39" t="s">
        <v>60</v>
      </c>
      <c r="D84" s="39" t="s">
        <v>142</v>
      </c>
      <c r="E84" s="41" t="s">
        <v>206</v>
      </c>
      <c r="F84" s="31" t="s">
        <v>96</v>
      </c>
    </row>
    <row r="85" spans="1:6" x14ac:dyDescent="0.25">
      <c r="A85" s="26"/>
      <c r="B85" s="38" t="s">
        <v>141</v>
      </c>
      <c r="C85" s="39" t="s">
        <v>60</v>
      </c>
      <c r="D85" s="39">
        <v>46057</v>
      </c>
      <c r="E85" s="41" t="s">
        <v>206</v>
      </c>
      <c r="F85" s="31" t="s">
        <v>96</v>
      </c>
    </row>
    <row r="86" spans="1:6" x14ac:dyDescent="0.25">
      <c r="A86" s="48"/>
      <c r="B86" s="43"/>
      <c r="C86" s="45"/>
      <c r="D86" s="44"/>
      <c r="E86" s="49"/>
      <c r="F86" s="46"/>
    </row>
    <row r="87" spans="1:6" x14ac:dyDescent="0.25">
      <c r="A87" s="26" t="s">
        <v>125</v>
      </c>
      <c r="B87" s="38" t="s">
        <v>122</v>
      </c>
      <c r="C87" s="39" t="s">
        <v>60</v>
      </c>
      <c r="D87" s="39">
        <v>46176</v>
      </c>
      <c r="E87" s="41" t="s">
        <v>31</v>
      </c>
      <c r="F87" s="31" t="s">
        <v>96</v>
      </c>
    </row>
    <row r="88" spans="1:6" x14ac:dyDescent="0.25">
      <c r="A88" s="26"/>
      <c r="B88" s="38" t="s">
        <v>126</v>
      </c>
      <c r="C88" s="39" t="s">
        <v>60</v>
      </c>
      <c r="D88" s="39" t="s">
        <v>127</v>
      </c>
      <c r="E88" s="41" t="s">
        <v>31</v>
      </c>
      <c r="F88" s="31" t="s">
        <v>96</v>
      </c>
    </row>
    <row r="89" spans="1:6" x14ac:dyDescent="0.25">
      <c r="A89" s="48"/>
      <c r="B89" s="43"/>
      <c r="C89" s="45"/>
      <c r="D89" s="44"/>
      <c r="E89" s="49"/>
      <c r="F89" s="46"/>
    </row>
    <row r="90" spans="1:6" x14ac:dyDescent="0.25">
      <c r="A90" s="26" t="s">
        <v>143</v>
      </c>
      <c r="B90" s="38" t="s">
        <v>79</v>
      </c>
      <c r="C90" s="39" t="s">
        <v>60</v>
      </c>
      <c r="D90" s="39">
        <v>46206</v>
      </c>
      <c r="E90" s="41" t="s">
        <v>17</v>
      </c>
      <c r="F90" s="41" t="s">
        <v>17</v>
      </c>
    </row>
    <row r="91" spans="1:6" x14ac:dyDescent="0.25">
      <c r="A91" s="26"/>
      <c r="B91" s="38" t="s">
        <v>110</v>
      </c>
      <c r="C91" s="39" t="s">
        <v>60</v>
      </c>
      <c r="D91" s="39" t="s">
        <v>144</v>
      </c>
      <c r="E91" s="41" t="s">
        <v>31</v>
      </c>
      <c r="F91" s="31" t="s">
        <v>13</v>
      </c>
    </row>
    <row r="92" spans="1:6" x14ac:dyDescent="0.25">
      <c r="A92" s="26"/>
      <c r="B92" s="38" t="s">
        <v>111</v>
      </c>
      <c r="C92" s="39" t="s">
        <v>60</v>
      </c>
      <c r="D92" s="39" t="s">
        <v>144</v>
      </c>
      <c r="E92" s="41" t="s">
        <v>31</v>
      </c>
      <c r="F92" s="31" t="s">
        <v>13</v>
      </c>
    </row>
    <row r="93" spans="1:6" x14ac:dyDescent="0.25">
      <c r="A93" s="42"/>
      <c r="B93" s="43"/>
      <c r="C93" s="45"/>
      <c r="D93" s="44"/>
      <c r="E93" s="47"/>
      <c r="F93" s="46"/>
    </row>
    <row r="94" spans="1:6" x14ac:dyDescent="0.25">
      <c r="A94" s="26" t="s">
        <v>38</v>
      </c>
      <c r="B94" s="38" t="s">
        <v>79</v>
      </c>
      <c r="C94" s="39" t="s">
        <v>60</v>
      </c>
      <c r="D94" s="39" t="s">
        <v>154</v>
      </c>
      <c r="E94" s="41" t="s">
        <v>31</v>
      </c>
      <c r="F94" s="31" t="s">
        <v>13</v>
      </c>
    </row>
    <row r="95" spans="1:6" x14ac:dyDescent="0.25">
      <c r="A95" s="26"/>
      <c r="B95" s="38" t="s">
        <v>138</v>
      </c>
      <c r="C95" s="39" t="s">
        <v>60</v>
      </c>
      <c r="D95" s="39" t="s">
        <v>155</v>
      </c>
      <c r="E95" s="41" t="s">
        <v>31</v>
      </c>
      <c r="F95" s="31" t="s">
        <v>13</v>
      </c>
    </row>
    <row r="96" spans="1:6" x14ac:dyDescent="0.25">
      <c r="A96" s="61"/>
      <c r="B96" s="62" t="s">
        <v>149</v>
      </c>
      <c r="C96" s="39" t="s">
        <v>60</v>
      </c>
      <c r="D96" s="39" t="s">
        <v>155</v>
      </c>
      <c r="E96" s="41" t="s">
        <v>31</v>
      </c>
      <c r="F96" s="31" t="s">
        <v>13</v>
      </c>
    </row>
    <row r="97" spans="1:6" x14ac:dyDescent="0.25">
      <c r="A97" s="42"/>
      <c r="B97" s="43"/>
      <c r="C97" s="45"/>
      <c r="D97" s="44"/>
      <c r="E97" s="47"/>
      <c r="F97" s="46"/>
    </row>
    <row r="98" spans="1:6" x14ac:dyDescent="0.25">
      <c r="A98" s="25" t="s">
        <v>179</v>
      </c>
      <c r="B98" s="38" t="s">
        <v>180</v>
      </c>
      <c r="C98" s="39" t="s">
        <v>60</v>
      </c>
      <c r="D98" s="39" t="s">
        <v>142</v>
      </c>
      <c r="E98" s="60" t="s">
        <v>34</v>
      </c>
      <c r="F98" s="31" t="s">
        <v>96</v>
      </c>
    </row>
    <row r="99" spans="1:6" x14ac:dyDescent="0.25">
      <c r="A99" s="25"/>
      <c r="B99" s="38" t="s">
        <v>181</v>
      </c>
      <c r="C99" s="39" t="s">
        <v>60</v>
      </c>
      <c r="D99" s="39" t="s">
        <v>170</v>
      </c>
      <c r="E99" s="60" t="s">
        <v>33</v>
      </c>
      <c r="F99" s="31" t="s">
        <v>96</v>
      </c>
    </row>
    <row r="100" spans="1:6" x14ac:dyDescent="0.25">
      <c r="A100" s="25"/>
      <c r="B100" s="38" t="s">
        <v>182</v>
      </c>
      <c r="C100" s="39" t="s">
        <v>60</v>
      </c>
      <c r="D100" s="39" t="s">
        <v>190</v>
      </c>
      <c r="E100" s="60" t="s">
        <v>33</v>
      </c>
      <c r="F100" s="31" t="s">
        <v>96</v>
      </c>
    </row>
    <row r="101" spans="1:6" x14ac:dyDescent="0.25">
      <c r="A101" s="25"/>
      <c r="B101" s="38" t="s">
        <v>183</v>
      </c>
      <c r="C101" s="39" t="s">
        <v>60</v>
      </c>
      <c r="D101" s="39">
        <v>46027</v>
      </c>
      <c r="E101" s="60" t="s">
        <v>16</v>
      </c>
      <c r="F101" s="69"/>
    </row>
    <row r="102" spans="1:6" x14ac:dyDescent="0.25">
      <c r="A102" s="25"/>
      <c r="B102" s="38" t="s">
        <v>185</v>
      </c>
      <c r="C102" s="39" t="s">
        <v>60</v>
      </c>
      <c r="D102" s="39" t="s">
        <v>302</v>
      </c>
      <c r="E102" s="60" t="s">
        <v>31</v>
      </c>
      <c r="F102" s="41" t="s">
        <v>17</v>
      </c>
    </row>
    <row r="103" spans="1:6" x14ac:dyDescent="0.25">
      <c r="A103" s="25"/>
      <c r="B103" s="38" t="s">
        <v>186</v>
      </c>
      <c r="C103" s="39" t="s">
        <v>60</v>
      </c>
      <c r="D103" s="39" t="s">
        <v>160</v>
      </c>
      <c r="E103" s="60" t="s">
        <v>33</v>
      </c>
      <c r="F103" s="31" t="s">
        <v>13</v>
      </c>
    </row>
    <row r="104" spans="1:6" x14ac:dyDescent="0.25">
      <c r="A104" s="25"/>
      <c r="B104" s="38" t="s">
        <v>187</v>
      </c>
      <c r="C104" s="39" t="s">
        <v>60</v>
      </c>
      <c r="D104" s="39" t="s">
        <v>243</v>
      </c>
      <c r="E104" s="60" t="s">
        <v>31</v>
      </c>
      <c r="F104" s="31" t="s">
        <v>14</v>
      </c>
    </row>
    <row r="105" spans="1:6" x14ac:dyDescent="0.25">
      <c r="A105" s="25"/>
      <c r="B105" s="38" t="s">
        <v>188</v>
      </c>
      <c r="C105" s="39" t="s">
        <v>60</v>
      </c>
      <c r="D105" s="39">
        <v>46148</v>
      </c>
      <c r="E105" s="60" t="s">
        <v>31</v>
      </c>
      <c r="F105" s="31"/>
    </row>
    <row r="106" spans="1:6" x14ac:dyDescent="0.25">
      <c r="A106" s="25"/>
      <c r="B106" s="38" t="s">
        <v>189</v>
      </c>
      <c r="C106" s="39" t="s">
        <v>60</v>
      </c>
      <c r="D106" s="39">
        <v>46116</v>
      </c>
      <c r="E106" s="60" t="s">
        <v>34</v>
      </c>
      <c r="F106" s="31" t="s">
        <v>96</v>
      </c>
    </row>
    <row r="107" spans="1:6" x14ac:dyDescent="0.25">
      <c r="A107" s="42"/>
      <c r="B107" s="43"/>
      <c r="C107" s="45"/>
      <c r="D107" s="44"/>
      <c r="E107" s="47"/>
      <c r="F107" s="46"/>
    </row>
    <row r="108" spans="1:6" x14ac:dyDescent="0.25">
      <c r="A108" s="25" t="s">
        <v>41</v>
      </c>
      <c r="B108" s="38" t="s">
        <v>79</v>
      </c>
      <c r="C108" s="39" t="s">
        <v>60</v>
      </c>
      <c r="D108" s="39" t="s">
        <v>156</v>
      </c>
      <c r="E108" s="60" t="s">
        <v>31</v>
      </c>
      <c r="F108" s="31"/>
    </row>
    <row r="109" spans="1:6" x14ac:dyDescent="0.25">
      <c r="A109" s="25"/>
      <c r="B109" s="38" t="s">
        <v>126</v>
      </c>
      <c r="C109" s="39" t="s">
        <v>60</v>
      </c>
      <c r="D109" s="39">
        <v>46027</v>
      </c>
      <c r="E109" s="60" t="s">
        <v>31</v>
      </c>
      <c r="F109" s="31"/>
    </row>
    <row r="110" spans="1:6" x14ac:dyDescent="0.25">
      <c r="A110" s="52"/>
      <c r="B110" s="51"/>
      <c r="C110" s="54"/>
      <c r="D110" s="55"/>
      <c r="E110" s="56"/>
      <c r="F110" s="50"/>
    </row>
    <row r="111" spans="1:6" x14ac:dyDescent="0.25">
      <c r="A111" s="25" t="s">
        <v>42</v>
      </c>
      <c r="B111" s="38" t="s">
        <v>79</v>
      </c>
      <c r="C111" s="39" t="s">
        <v>60</v>
      </c>
      <c r="D111" s="39" t="s">
        <v>135</v>
      </c>
      <c r="E111" s="60" t="s">
        <v>31</v>
      </c>
      <c r="F111" s="31" t="s">
        <v>96</v>
      </c>
    </row>
    <row r="112" spans="1:6" x14ac:dyDescent="0.25">
      <c r="A112" s="25"/>
      <c r="B112" s="38" t="s">
        <v>165</v>
      </c>
      <c r="C112" s="39" t="s">
        <v>60</v>
      </c>
      <c r="D112" s="39">
        <v>46027</v>
      </c>
      <c r="E112" s="60" t="s">
        <v>205</v>
      </c>
      <c r="F112" s="31"/>
    </row>
    <row r="113" spans="1:6" x14ac:dyDescent="0.25">
      <c r="A113" s="52"/>
      <c r="B113" s="51"/>
      <c r="C113" s="54"/>
      <c r="D113" s="55"/>
      <c r="E113" s="56"/>
      <c r="F113" s="50"/>
    </row>
    <row r="114" spans="1:6" x14ac:dyDescent="0.25">
      <c r="A114" s="25" t="s">
        <v>43</v>
      </c>
      <c r="B114" s="38" t="s">
        <v>29</v>
      </c>
      <c r="C114" s="39" t="s">
        <v>60</v>
      </c>
      <c r="D114" s="39">
        <v>46238</v>
      </c>
      <c r="E114" s="60" t="s">
        <v>119</v>
      </c>
      <c r="F114" s="31" t="s">
        <v>13</v>
      </c>
    </row>
    <row r="115" spans="1:6" x14ac:dyDescent="0.25">
      <c r="A115" s="25"/>
      <c r="B115" s="38" t="s">
        <v>51</v>
      </c>
      <c r="C115" s="39" t="s">
        <v>60</v>
      </c>
      <c r="D115" s="39" t="s">
        <v>231</v>
      </c>
      <c r="E115" s="60" t="s">
        <v>119</v>
      </c>
      <c r="F115" s="40" t="s">
        <v>14</v>
      </c>
    </row>
    <row r="116" spans="1:6" x14ac:dyDescent="0.25">
      <c r="A116" s="25"/>
      <c r="B116" s="38" t="s">
        <v>191</v>
      </c>
      <c r="C116" s="67" t="s">
        <v>244</v>
      </c>
      <c r="D116" s="59"/>
      <c r="E116" s="60" t="s">
        <v>119</v>
      </c>
      <c r="F116" s="40" t="s">
        <v>14</v>
      </c>
    </row>
    <row r="117" spans="1:6" x14ac:dyDescent="0.25">
      <c r="A117" s="25"/>
      <c r="B117" s="38" t="s">
        <v>184</v>
      </c>
      <c r="C117" s="67" t="s">
        <v>244</v>
      </c>
      <c r="D117" s="59"/>
      <c r="E117" s="60"/>
      <c r="F117" s="31"/>
    </row>
    <row r="118" spans="1:6" x14ac:dyDescent="0.25">
      <c r="A118" s="52"/>
      <c r="B118" s="51"/>
      <c r="C118" s="54"/>
      <c r="D118" s="55"/>
      <c r="E118" s="56"/>
      <c r="F118" s="50"/>
    </row>
    <row r="119" spans="1:6" x14ac:dyDescent="0.25">
      <c r="A119" s="25" t="s">
        <v>44</v>
      </c>
      <c r="B119" s="38" t="s">
        <v>79</v>
      </c>
      <c r="C119" s="39" t="s">
        <v>60</v>
      </c>
      <c r="D119" s="39">
        <v>46299</v>
      </c>
      <c r="E119" s="60" t="s">
        <v>410</v>
      </c>
      <c r="F119" s="31" t="s">
        <v>13</v>
      </c>
    </row>
    <row r="120" spans="1:6" x14ac:dyDescent="0.25">
      <c r="A120" s="25"/>
      <c r="B120" s="38" t="s">
        <v>198</v>
      </c>
      <c r="C120" s="39" t="s">
        <v>60</v>
      </c>
      <c r="D120" s="39">
        <v>46117</v>
      </c>
      <c r="E120" s="60" t="s">
        <v>410</v>
      </c>
      <c r="F120" s="31" t="s">
        <v>13</v>
      </c>
    </row>
    <row r="121" spans="1:6" x14ac:dyDescent="0.25">
      <c r="A121" s="25"/>
      <c r="B121" s="38" t="s">
        <v>220</v>
      </c>
      <c r="C121" s="39" t="s">
        <v>60</v>
      </c>
      <c r="D121" s="39">
        <v>46117</v>
      </c>
      <c r="E121" s="60" t="s">
        <v>213</v>
      </c>
      <c r="F121" s="31"/>
    </row>
    <row r="122" spans="1:6" x14ac:dyDescent="0.25">
      <c r="A122" s="25"/>
      <c r="B122" s="38" t="s">
        <v>141</v>
      </c>
      <c r="C122" s="39" t="s">
        <v>60</v>
      </c>
      <c r="D122" s="39">
        <v>46331</v>
      </c>
      <c r="E122" s="60" t="s">
        <v>207</v>
      </c>
      <c r="F122" s="40" t="s">
        <v>14</v>
      </c>
    </row>
    <row r="123" spans="1:6" x14ac:dyDescent="0.25">
      <c r="A123" s="52"/>
      <c r="B123" s="51"/>
      <c r="C123" s="54"/>
      <c r="D123" s="53"/>
      <c r="E123" s="56"/>
      <c r="F123" s="50"/>
    </row>
    <row r="124" spans="1:6" x14ac:dyDescent="0.25">
      <c r="A124" s="25" t="s">
        <v>167</v>
      </c>
      <c r="B124" s="38" t="s">
        <v>168</v>
      </c>
      <c r="C124" s="39" t="s">
        <v>60</v>
      </c>
      <c r="D124" s="39">
        <v>46238</v>
      </c>
      <c r="E124" s="60" t="s">
        <v>410</v>
      </c>
      <c r="F124" s="31" t="s">
        <v>13</v>
      </c>
    </row>
    <row r="125" spans="1:6" x14ac:dyDescent="0.25">
      <c r="A125" s="25"/>
      <c r="B125" s="38" t="s">
        <v>169</v>
      </c>
      <c r="C125" s="39" t="s">
        <v>60</v>
      </c>
      <c r="D125" s="39">
        <v>46238</v>
      </c>
      <c r="E125" s="60" t="s">
        <v>410</v>
      </c>
      <c r="F125" s="31" t="s">
        <v>13</v>
      </c>
    </row>
    <row r="126" spans="1:6" x14ac:dyDescent="0.25">
      <c r="A126" s="52"/>
      <c r="B126" s="51"/>
      <c r="C126" s="54"/>
      <c r="D126" s="55"/>
      <c r="E126" s="56"/>
      <c r="F126" s="50"/>
    </row>
    <row r="127" spans="1:6" x14ac:dyDescent="0.25">
      <c r="A127" s="25" t="s">
        <v>46</v>
      </c>
      <c r="B127" s="38" t="s">
        <v>79</v>
      </c>
      <c r="C127" s="39" t="s">
        <v>60</v>
      </c>
      <c r="D127" s="39">
        <v>46177</v>
      </c>
      <c r="E127" s="60" t="s">
        <v>31</v>
      </c>
      <c r="F127" s="31" t="s">
        <v>13</v>
      </c>
    </row>
    <row r="128" spans="1:6" x14ac:dyDescent="0.25">
      <c r="A128" s="25"/>
      <c r="B128" s="38" t="s">
        <v>221</v>
      </c>
      <c r="C128" s="39" t="s">
        <v>60</v>
      </c>
      <c r="D128" s="39">
        <v>46361</v>
      </c>
      <c r="E128" s="60" t="s">
        <v>215</v>
      </c>
      <c r="F128" s="40" t="s">
        <v>14</v>
      </c>
    </row>
    <row r="129" spans="1:6" x14ac:dyDescent="0.25">
      <c r="A129" s="25"/>
      <c r="B129" s="38" t="s">
        <v>222</v>
      </c>
      <c r="C129" s="39" t="s">
        <v>60</v>
      </c>
      <c r="D129" s="39" t="s">
        <v>237</v>
      </c>
      <c r="E129" s="60" t="s">
        <v>16</v>
      </c>
      <c r="F129" s="40" t="s">
        <v>14</v>
      </c>
    </row>
    <row r="130" spans="1:6" x14ac:dyDescent="0.25">
      <c r="A130" s="25"/>
      <c r="B130" s="38" t="s">
        <v>310</v>
      </c>
      <c r="C130" s="39" t="s">
        <v>60</v>
      </c>
      <c r="D130" s="39" t="s">
        <v>301</v>
      </c>
      <c r="E130" s="60" t="s">
        <v>16</v>
      </c>
      <c r="F130" s="40" t="s">
        <v>14</v>
      </c>
    </row>
    <row r="131" spans="1:6" x14ac:dyDescent="0.25">
      <c r="A131" s="25"/>
      <c r="B131" s="38" t="s">
        <v>312</v>
      </c>
      <c r="C131" s="39" t="s">
        <v>60</v>
      </c>
      <c r="D131" s="39" t="s">
        <v>316</v>
      </c>
      <c r="E131" s="60" t="s">
        <v>16</v>
      </c>
      <c r="F131" s="31"/>
    </row>
    <row r="132" spans="1:6" x14ac:dyDescent="0.25">
      <c r="A132" s="25"/>
      <c r="B132" s="38" t="s">
        <v>311</v>
      </c>
      <c r="C132" s="39" t="s">
        <v>60</v>
      </c>
      <c r="D132" s="39">
        <v>46087</v>
      </c>
      <c r="E132" s="60" t="s">
        <v>16</v>
      </c>
      <c r="F132" s="31"/>
    </row>
    <row r="133" spans="1:6" x14ac:dyDescent="0.25">
      <c r="A133" s="25"/>
      <c r="B133" s="38" t="s">
        <v>384</v>
      </c>
      <c r="C133" s="39" t="s">
        <v>60</v>
      </c>
      <c r="D133" s="39">
        <v>46362</v>
      </c>
      <c r="E133" s="60" t="s">
        <v>16</v>
      </c>
      <c r="F133" s="40" t="s">
        <v>14</v>
      </c>
    </row>
    <row r="134" spans="1:6" x14ac:dyDescent="0.25">
      <c r="A134" s="25"/>
      <c r="B134" s="38" t="s">
        <v>175</v>
      </c>
      <c r="C134" s="39" t="s">
        <v>60</v>
      </c>
      <c r="D134" s="39" t="s">
        <v>173</v>
      </c>
      <c r="E134" s="60" t="s">
        <v>31</v>
      </c>
      <c r="F134" s="31" t="s">
        <v>13</v>
      </c>
    </row>
    <row r="135" spans="1:6" x14ac:dyDescent="0.25">
      <c r="A135" s="25"/>
      <c r="B135" s="62" t="s">
        <v>211</v>
      </c>
      <c r="C135" s="39" t="s">
        <v>60</v>
      </c>
      <c r="D135" s="39">
        <v>46270</v>
      </c>
      <c r="E135" s="66" t="s">
        <v>17</v>
      </c>
      <c r="F135" s="57"/>
    </row>
    <row r="136" spans="1:6" x14ac:dyDescent="0.25">
      <c r="A136" s="52"/>
      <c r="B136" s="51"/>
      <c r="C136" s="54"/>
      <c r="D136" s="53"/>
      <c r="E136" s="56"/>
      <c r="F136" s="50"/>
    </row>
    <row r="137" spans="1:6" x14ac:dyDescent="0.25">
      <c r="A137" s="26" t="s">
        <v>47</v>
      </c>
      <c r="B137" s="38" t="s">
        <v>157</v>
      </c>
      <c r="C137" s="39" t="s">
        <v>60</v>
      </c>
      <c r="D137" s="39">
        <v>46238</v>
      </c>
      <c r="E137" s="41" t="s">
        <v>16</v>
      </c>
      <c r="F137" s="31" t="s">
        <v>108</v>
      </c>
    </row>
    <row r="138" spans="1:6" x14ac:dyDescent="0.25">
      <c r="A138" s="26"/>
      <c r="B138" s="38" t="s">
        <v>158</v>
      </c>
      <c r="C138" s="39" t="s">
        <v>60</v>
      </c>
      <c r="D138" s="39">
        <v>46299</v>
      </c>
      <c r="E138" s="41" t="s">
        <v>16</v>
      </c>
      <c r="F138" s="31" t="s">
        <v>108</v>
      </c>
    </row>
    <row r="139" spans="1:6" x14ac:dyDescent="0.25">
      <c r="A139" s="25"/>
      <c r="B139" s="38" t="s">
        <v>159</v>
      </c>
      <c r="C139" s="39" t="s">
        <v>60</v>
      </c>
      <c r="D139" s="39" t="s">
        <v>160</v>
      </c>
      <c r="E139" s="41" t="s">
        <v>16</v>
      </c>
      <c r="F139" s="31" t="s">
        <v>108</v>
      </c>
    </row>
    <row r="140" spans="1:6" x14ac:dyDescent="0.25">
      <c r="A140" s="48"/>
      <c r="B140" s="43"/>
      <c r="C140" s="45"/>
      <c r="D140" s="44"/>
      <c r="E140" s="49"/>
      <c r="F140" s="46"/>
    </row>
    <row r="141" spans="1:6" x14ac:dyDescent="0.25">
      <c r="A141" s="26" t="s">
        <v>45</v>
      </c>
      <c r="B141" s="38" t="s">
        <v>79</v>
      </c>
      <c r="C141" s="39" t="s">
        <v>60</v>
      </c>
      <c r="D141" s="39">
        <v>46177</v>
      </c>
      <c r="E141" s="41" t="s">
        <v>33</v>
      </c>
      <c r="F141" s="31" t="s">
        <v>13</v>
      </c>
    </row>
    <row r="142" spans="1:6" x14ac:dyDescent="0.25">
      <c r="A142" s="26"/>
      <c r="B142" s="38" t="s">
        <v>120</v>
      </c>
      <c r="C142" s="39" t="s">
        <v>60</v>
      </c>
      <c r="D142" s="39" t="s">
        <v>238</v>
      </c>
      <c r="E142" s="41" t="s">
        <v>119</v>
      </c>
      <c r="F142" s="40" t="s">
        <v>14</v>
      </c>
    </row>
    <row r="143" spans="1:6" x14ac:dyDescent="0.25">
      <c r="A143" s="26"/>
      <c r="B143" s="38" t="s">
        <v>149</v>
      </c>
      <c r="C143" s="39" t="s">
        <v>60</v>
      </c>
      <c r="D143" s="39" t="s">
        <v>238</v>
      </c>
      <c r="E143" s="41" t="s">
        <v>119</v>
      </c>
      <c r="F143" s="40" t="s">
        <v>14</v>
      </c>
    </row>
    <row r="144" spans="1:6" x14ac:dyDescent="0.25">
      <c r="A144" s="52"/>
      <c r="B144" s="51"/>
      <c r="C144" s="54"/>
      <c r="D144" s="54"/>
      <c r="E144" s="56"/>
      <c r="F144" s="50"/>
    </row>
    <row r="145" spans="1:6" x14ac:dyDescent="0.25">
      <c r="A145" s="25" t="s">
        <v>59</v>
      </c>
      <c r="B145" s="38" t="s">
        <v>29</v>
      </c>
      <c r="C145" s="39" t="s">
        <v>60</v>
      </c>
      <c r="D145" s="39">
        <v>46238</v>
      </c>
      <c r="E145" s="60" t="s">
        <v>171</v>
      </c>
      <c r="F145" s="31" t="s">
        <v>13</v>
      </c>
    </row>
    <row r="146" spans="1:6" x14ac:dyDescent="0.25">
      <c r="A146" s="52"/>
      <c r="B146" s="51"/>
      <c r="C146" s="54"/>
      <c r="D146" s="53"/>
      <c r="E146" s="56"/>
      <c r="F146" s="50"/>
    </row>
    <row r="147" spans="1:6" x14ac:dyDescent="0.25">
      <c r="A147" s="25" t="s">
        <v>52</v>
      </c>
      <c r="B147" s="38" t="s">
        <v>29</v>
      </c>
      <c r="C147" s="39" t="s">
        <v>60</v>
      </c>
      <c r="D147" s="39" t="s">
        <v>161</v>
      </c>
      <c r="E147" s="60" t="s">
        <v>16</v>
      </c>
      <c r="F147" s="31" t="s">
        <v>13</v>
      </c>
    </row>
    <row r="148" spans="1:6" x14ac:dyDescent="0.25">
      <c r="A148" s="25"/>
      <c r="B148" s="38" t="s">
        <v>152</v>
      </c>
      <c r="C148" s="39" t="s">
        <v>60</v>
      </c>
      <c r="D148" s="39">
        <v>46027</v>
      </c>
      <c r="E148" s="60" t="s">
        <v>16</v>
      </c>
      <c r="F148" s="31" t="s">
        <v>13</v>
      </c>
    </row>
    <row r="149" spans="1:6" x14ac:dyDescent="0.25">
      <c r="A149" s="25"/>
      <c r="B149" s="38" t="s">
        <v>166</v>
      </c>
      <c r="C149" s="39" t="s">
        <v>60</v>
      </c>
      <c r="D149" s="39" t="s">
        <v>322</v>
      </c>
      <c r="E149" s="60" t="s">
        <v>31</v>
      </c>
      <c r="F149" s="31" t="s">
        <v>13</v>
      </c>
    </row>
    <row r="150" spans="1:6" x14ac:dyDescent="0.25">
      <c r="A150" s="25"/>
      <c r="B150" s="38" t="s">
        <v>111</v>
      </c>
      <c r="C150" s="39" t="s">
        <v>60</v>
      </c>
      <c r="D150" s="39" t="s">
        <v>381</v>
      </c>
      <c r="E150" s="60" t="s">
        <v>31</v>
      </c>
      <c r="F150" s="40" t="s">
        <v>14</v>
      </c>
    </row>
    <row r="151" spans="1:6" x14ac:dyDescent="0.25">
      <c r="A151" s="52"/>
      <c r="B151" s="51"/>
      <c r="C151" s="54"/>
      <c r="D151" s="55"/>
      <c r="E151" s="56"/>
      <c r="F151" s="50"/>
    </row>
    <row r="152" spans="1:6" x14ac:dyDescent="0.25">
      <c r="A152" s="25" t="s">
        <v>56</v>
      </c>
      <c r="B152" s="38" t="s">
        <v>79</v>
      </c>
      <c r="C152" s="39" t="s">
        <v>60</v>
      </c>
      <c r="D152" s="39" t="s">
        <v>172</v>
      </c>
      <c r="E152" s="60" t="s">
        <v>31</v>
      </c>
      <c r="F152" s="31" t="s">
        <v>13</v>
      </c>
    </row>
    <row r="153" spans="1:6" x14ac:dyDescent="0.25">
      <c r="A153" s="25"/>
      <c r="B153" s="38" t="s">
        <v>132</v>
      </c>
      <c r="C153" s="39" t="s">
        <v>60</v>
      </c>
      <c r="D153" s="39">
        <v>46118</v>
      </c>
      <c r="E153" s="60" t="s">
        <v>119</v>
      </c>
      <c r="F153" s="40" t="s">
        <v>14</v>
      </c>
    </row>
    <row r="154" spans="1:6" x14ac:dyDescent="0.25">
      <c r="A154" s="25"/>
      <c r="B154" s="38" t="s">
        <v>305</v>
      </c>
      <c r="C154" s="39" t="s">
        <v>60</v>
      </c>
      <c r="D154" s="39" t="s">
        <v>381</v>
      </c>
      <c r="E154" s="60" t="s">
        <v>28</v>
      </c>
      <c r="F154" s="40" t="s">
        <v>14</v>
      </c>
    </row>
    <row r="155" spans="1:6" x14ac:dyDescent="0.25">
      <c r="A155" s="25"/>
      <c r="B155" s="38" t="s">
        <v>141</v>
      </c>
      <c r="C155" s="39" t="s">
        <v>60</v>
      </c>
      <c r="D155" s="39" t="s">
        <v>381</v>
      </c>
      <c r="E155" s="60" t="s">
        <v>318</v>
      </c>
      <c r="F155" s="40" t="s">
        <v>14</v>
      </c>
    </row>
    <row r="156" spans="1:6" x14ac:dyDescent="0.25">
      <c r="A156" s="52"/>
      <c r="B156" s="51"/>
      <c r="C156" s="54"/>
      <c r="D156" s="55"/>
      <c r="E156" s="56"/>
      <c r="F156" s="50"/>
    </row>
    <row r="157" spans="1:6" x14ac:dyDescent="0.25">
      <c r="A157" s="25" t="s">
        <v>53</v>
      </c>
      <c r="B157" s="38" t="s">
        <v>79</v>
      </c>
      <c r="C157" s="39" t="s">
        <v>60</v>
      </c>
      <c r="D157" s="39" t="s">
        <v>174</v>
      </c>
      <c r="E157" s="60" t="s">
        <v>33</v>
      </c>
      <c r="F157" s="31" t="s">
        <v>13</v>
      </c>
    </row>
    <row r="158" spans="1:6" x14ac:dyDescent="0.25">
      <c r="A158" s="25"/>
      <c r="B158" s="38" t="s">
        <v>138</v>
      </c>
      <c r="C158" s="39" t="s">
        <v>60</v>
      </c>
      <c r="D158" s="39">
        <v>46158</v>
      </c>
      <c r="E158" s="60" t="s">
        <v>206</v>
      </c>
      <c r="F158" s="31"/>
    </row>
    <row r="159" spans="1:6" x14ac:dyDescent="0.25">
      <c r="A159" s="25"/>
      <c r="B159" s="38" t="s">
        <v>149</v>
      </c>
      <c r="C159" s="39" t="s">
        <v>60</v>
      </c>
      <c r="D159" s="39">
        <v>46176</v>
      </c>
      <c r="E159" s="60" t="s">
        <v>206</v>
      </c>
      <c r="F159" s="31"/>
    </row>
    <row r="160" spans="1:6" x14ac:dyDescent="0.25">
      <c r="A160" s="52"/>
      <c r="B160" s="51"/>
      <c r="C160" s="54"/>
      <c r="D160" s="55"/>
      <c r="E160" s="56"/>
      <c r="F160" s="50"/>
    </row>
    <row r="161" spans="1:6" x14ac:dyDescent="0.25">
      <c r="A161" s="25" t="s">
        <v>192</v>
      </c>
      <c r="B161" s="38" t="s">
        <v>79</v>
      </c>
      <c r="C161" s="39" t="s">
        <v>60</v>
      </c>
      <c r="D161" s="39">
        <v>46299</v>
      </c>
      <c r="E161" s="60" t="s">
        <v>31</v>
      </c>
      <c r="F161" s="31" t="s">
        <v>13</v>
      </c>
    </row>
    <row r="162" spans="1:6" x14ac:dyDescent="0.25">
      <c r="A162" s="25"/>
      <c r="B162" s="38" t="s">
        <v>193</v>
      </c>
      <c r="C162" s="39" t="s">
        <v>60</v>
      </c>
      <c r="D162" s="39">
        <v>46299</v>
      </c>
      <c r="E162" s="60" t="s">
        <v>31</v>
      </c>
      <c r="F162" s="40" t="s">
        <v>13</v>
      </c>
    </row>
    <row r="163" spans="1:6" x14ac:dyDescent="0.25">
      <c r="A163" s="25"/>
      <c r="B163" s="38" t="s">
        <v>184</v>
      </c>
      <c r="C163" s="39" t="s">
        <v>60</v>
      </c>
      <c r="D163" s="39">
        <v>46299</v>
      </c>
      <c r="E163" s="60" t="s">
        <v>31</v>
      </c>
      <c r="F163" s="40" t="s">
        <v>13</v>
      </c>
    </row>
    <row r="164" spans="1:6" x14ac:dyDescent="0.25">
      <c r="A164" s="25"/>
      <c r="B164" s="38" t="s">
        <v>194</v>
      </c>
      <c r="C164" s="39" t="s">
        <v>60</v>
      </c>
      <c r="D164" s="39" t="s">
        <v>177</v>
      </c>
      <c r="E164" s="60" t="s">
        <v>16</v>
      </c>
      <c r="F164" s="40" t="s">
        <v>14</v>
      </c>
    </row>
    <row r="165" spans="1:6" x14ac:dyDescent="0.25">
      <c r="A165" s="25"/>
      <c r="B165" s="38" t="s">
        <v>195</v>
      </c>
      <c r="C165" s="39" t="s">
        <v>60</v>
      </c>
      <c r="D165" s="39" t="s">
        <v>174</v>
      </c>
      <c r="E165" s="60" t="s">
        <v>16</v>
      </c>
      <c r="F165" s="40"/>
    </row>
    <row r="166" spans="1:6" x14ac:dyDescent="0.25">
      <c r="A166" s="52"/>
      <c r="B166" s="51"/>
      <c r="C166" s="54"/>
      <c r="D166" s="53"/>
      <c r="E166" s="56"/>
      <c r="F166" s="50"/>
    </row>
    <row r="167" spans="1:6" x14ac:dyDescent="0.25">
      <c r="A167" s="26" t="s">
        <v>216</v>
      </c>
      <c r="B167" s="38" t="s">
        <v>218</v>
      </c>
      <c r="C167" s="39" t="s">
        <v>60</v>
      </c>
      <c r="D167" s="39" t="s">
        <v>164</v>
      </c>
      <c r="E167" s="41" t="s">
        <v>34</v>
      </c>
      <c r="F167" s="31"/>
    </row>
    <row r="168" spans="1:6" x14ac:dyDescent="0.25">
      <c r="A168" s="26"/>
      <c r="B168" s="38" t="s">
        <v>217</v>
      </c>
      <c r="C168" s="39" t="s">
        <v>60</v>
      </c>
      <c r="D168" s="39">
        <v>46270</v>
      </c>
      <c r="E168" s="41" t="s">
        <v>35</v>
      </c>
      <c r="F168" s="40" t="s">
        <v>14</v>
      </c>
    </row>
    <row r="169" spans="1:6" x14ac:dyDescent="0.25">
      <c r="A169" s="42"/>
      <c r="B169" s="51"/>
      <c r="C169" s="54"/>
      <c r="D169" s="53"/>
      <c r="E169" s="56"/>
      <c r="F169" s="50"/>
    </row>
    <row r="170" spans="1:6" x14ac:dyDescent="0.25">
      <c r="A170" s="25" t="s">
        <v>54</v>
      </c>
      <c r="B170" s="38" t="s">
        <v>79</v>
      </c>
      <c r="C170" s="39" t="s">
        <v>60</v>
      </c>
      <c r="D170" s="39">
        <v>46147</v>
      </c>
      <c r="E170" s="41" t="s">
        <v>31</v>
      </c>
      <c r="F170" s="41" t="s">
        <v>17</v>
      </c>
    </row>
    <row r="171" spans="1:6" x14ac:dyDescent="0.25">
      <c r="A171" s="25"/>
      <c r="B171" s="25" t="s">
        <v>165</v>
      </c>
      <c r="C171" s="39" t="s">
        <v>60</v>
      </c>
      <c r="D171" s="39" t="s">
        <v>228</v>
      </c>
      <c r="E171" s="41" t="s">
        <v>35</v>
      </c>
      <c r="F171" s="40" t="s">
        <v>14</v>
      </c>
    </row>
    <row r="172" spans="1:6" x14ac:dyDescent="0.25">
      <c r="A172" s="52"/>
      <c r="B172" s="51"/>
      <c r="C172" s="54"/>
      <c r="D172" s="55"/>
      <c r="E172" s="56"/>
      <c r="F172" s="50"/>
    </row>
    <row r="173" spans="1:6" x14ac:dyDescent="0.25">
      <c r="A173" s="25" t="s">
        <v>57</v>
      </c>
      <c r="B173" s="38" t="s">
        <v>79</v>
      </c>
      <c r="C173" s="39" t="s">
        <v>60</v>
      </c>
      <c r="D173" s="39" t="s">
        <v>172</v>
      </c>
      <c r="E173" s="60" t="s">
        <v>35</v>
      </c>
      <c r="F173" s="31" t="s">
        <v>108</v>
      </c>
    </row>
    <row r="174" spans="1:6" x14ac:dyDescent="0.25">
      <c r="A174" s="25"/>
      <c r="B174" s="38" t="s">
        <v>126</v>
      </c>
      <c r="C174" s="39" t="s">
        <v>60</v>
      </c>
      <c r="D174" s="39" t="s">
        <v>172</v>
      </c>
      <c r="E174" s="60" t="s">
        <v>35</v>
      </c>
      <c r="F174" s="31" t="s">
        <v>108</v>
      </c>
    </row>
    <row r="175" spans="1:6" x14ac:dyDescent="0.25">
      <c r="A175" s="52"/>
      <c r="B175" s="51"/>
      <c r="C175" s="54"/>
      <c r="D175" s="53"/>
      <c r="E175" s="56"/>
      <c r="F175" s="50"/>
    </row>
    <row r="176" spans="1:6" x14ac:dyDescent="0.25">
      <c r="A176" s="26" t="s">
        <v>55</v>
      </c>
      <c r="B176" s="38" t="s">
        <v>122</v>
      </c>
      <c r="C176" s="39" t="s">
        <v>60</v>
      </c>
      <c r="D176" s="39" t="s">
        <v>295</v>
      </c>
      <c r="E176" s="41" t="s">
        <v>17</v>
      </c>
      <c r="F176" s="31"/>
    </row>
    <row r="177" spans="1:6" x14ac:dyDescent="0.25">
      <c r="A177" s="26"/>
      <c r="B177" s="38" t="s">
        <v>120</v>
      </c>
      <c r="C177" s="39" t="s">
        <v>60</v>
      </c>
      <c r="D177" s="39" t="s">
        <v>381</v>
      </c>
      <c r="E177" s="41" t="s">
        <v>33</v>
      </c>
      <c r="F177" s="31" t="s">
        <v>96</v>
      </c>
    </row>
    <row r="178" spans="1:6" x14ac:dyDescent="0.25">
      <c r="A178" s="26"/>
      <c r="B178" s="38" t="s">
        <v>162</v>
      </c>
      <c r="C178" s="39" t="s">
        <v>60</v>
      </c>
      <c r="D178" s="39" t="s">
        <v>381</v>
      </c>
      <c r="E178" s="41" t="s">
        <v>15</v>
      </c>
      <c r="F178" s="31" t="s">
        <v>96</v>
      </c>
    </row>
    <row r="179" spans="1:6" x14ac:dyDescent="0.25">
      <c r="A179" s="52"/>
      <c r="B179" s="51"/>
      <c r="C179" s="54"/>
      <c r="D179" s="55"/>
      <c r="E179" s="56"/>
      <c r="F179" s="50"/>
    </row>
    <row r="180" spans="1:6" x14ac:dyDescent="0.25">
      <c r="A180" s="25" t="s">
        <v>62</v>
      </c>
      <c r="B180" s="38" t="s">
        <v>79</v>
      </c>
      <c r="C180" s="39" t="s">
        <v>60</v>
      </c>
      <c r="D180" s="39" t="s">
        <v>172</v>
      </c>
      <c r="E180" s="41" t="s">
        <v>31</v>
      </c>
      <c r="F180" s="40" t="s">
        <v>14</v>
      </c>
    </row>
    <row r="181" spans="1:6" x14ac:dyDescent="0.25">
      <c r="A181" s="25"/>
      <c r="B181" s="38" t="s">
        <v>138</v>
      </c>
      <c r="C181" s="39" t="s">
        <v>60</v>
      </c>
      <c r="D181" s="39">
        <v>46027</v>
      </c>
      <c r="E181" s="60" t="s">
        <v>178</v>
      </c>
      <c r="F181" s="31"/>
    </row>
    <row r="182" spans="1:6" x14ac:dyDescent="0.25">
      <c r="A182" s="52"/>
      <c r="B182" s="51"/>
      <c r="C182" s="54"/>
      <c r="D182" s="55"/>
      <c r="E182" s="56"/>
      <c r="F182" s="50"/>
    </row>
    <row r="183" spans="1:6" x14ac:dyDescent="0.25">
      <c r="A183" s="25" t="s">
        <v>63</v>
      </c>
      <c r="B183" s="38" t="s">
        <v>176</v>
      </c>
      <c r="C183" s="39" t="s">
        <v>60</v>
      </c>
      <c r="D183" s="39">
        <v>46148</v>
      </c>
      <c r="E183" s="60" t="s">
        <v>206</v>
      </c>
      <c r="F183" s="31"/>
    </row>
    <row r="184" spans="1:6" x14ac:dyDescent="0.25">
      <c r="A184" s="25"/>
      <c r="B184" s="38" t="s">
        <v>210</v>
      </c>
      <c r="C184" s="39" t="s">
        <v>60</v>
      </c>
      <c r="D184" s="39">
        <v>46149</v>
      </c>
      <c r="E184" s="60" t="s">
        <v>206</v>
      </c>
      <c r="F184" s="31"/>
    </row>
    <row r="185" spans="1:6" x14ac:dyDescent="0.25">
      <c r="A185" s="52"/>
      <c r="B185" s="51"/>
      <c r="C185" s="54"/>
      <c r="D185" s="55"/>
      <c r="E185" s="56"/>
      <c r="F185" s="50"/>
    </row>
    <row r="186" spans="1:6" x14ac:dyDescent="0.25">
      <c r="A186" s="25" t="s">
        <v>196</v>
      </c>
      <c r="B186" s="38" t="s">
        <v>197</v>
      </c>
      <c r="C186" s="39" t="s">
        <v>60</v>
      </c>
      <c r="D186" s="39">
        <v>46157</v>
      </c>
      <c r="E186" s="60" t="s">
        <v>17</v>
      </c>
      <c r="F186" s="31"/>
    </row>
    <row r="187" spans="1:6" x14ac:dyDescent="0.25">
      <c r="A187" s="61"/>
      <c r="B187" s="62" t="s">
        <v>245</v>
      </c>
      <c r="C187" s="39" t="s">
        <v>60</v>
      </c>
      <c r="D187" s="39">
        <v>46174</v>
      </c>
      <c r="E187" s="66" t="s">
        <v>35</v>
      </c>
      <c r="F187" s="40" t="s">
        <v>14</v>
      </c>
    </row>
    <row r="188" spans="1:6" x14ac:dyDescent="0.25">
      <c r="A188" s="52"/>
      <c r="B188" s="51"/>
      <c r="C188" s="54"/>
      <c r="D188" s="55"/>
      <c r="E188" s="56"/>
      <c r="F188" s="50"/>
    </row>
    <row r="189" spans="1:6" x14ac:dyDescent="0.25">
      <c r="A189" s="25" t="s">
        <v>208</v>
      </c>
      <c r="B189" s="38" t="s">
        <v>209</v>
      </c>
      <c r="C189" s="39" t="s">
        <v>60</v>
      </c>
      <c r="D189" s="39">
        <v>46270</v>
      </c>
      <c r="E189" s="60"/>
      <c r="F189" s="31"/>
    </row>
    <row r="190" spans="1:6" x14ac:dyDescent="0.25">
      <c r="A190" s="52"/>
      <c r="B190" s="51"/>
      <c r="C190" s="54"/>
      <c r="D190" s="55"/>
      <c r="E190" s="56"/>
      <c r="F190" s="50"/>
    </row>
    <row r="191" spans="1:6" x14ac:dyDescent="0.25">
      <c r="A191" s="25" t="s">
        <v>212</v>
      </c>
      <c r="B191" s="38" t="s">
        <v>79</v>
      </c>
      <c r="C191" s="39" t="s">
        <v>60</v>
      </c>
      <c r="D191" s="39" t="s">
        <v>228</v>
      </c>
      <c r="E191" s="58" t="s">
        <v>31</v>
      </c>
      <c r="F191" s="40" t="s">
        <v>14</v>
      </c>
    </row>
    <row r="192" spans="1:6" x14ac:dyDescent="0.25">
      <c r="A192" s="25"/>
      <c r="B192" s="38" t="s">
        <v>226</v>
      </c>
      <c r="C192" s="39" t="s">
        <v>60</v>
      </c>
      <c r="D192" s="39">
        <v>46148</v>
      </c>
      <c r="E192" s="58" t="s">
        <v>31</v>
      </c>
      <c r="F192" s="31"/>
    </row>
    <row r="193" spans="1:6" x14ac:dyDescent="0.25">
      <c r="A193" s="52"/>
      <c r="B193" s="51"/>
      <c r="C193" s="54"/>
      <c r="D193" s="55"/>
      <c r="E193" s="56"/>
      <c r="F193" s="50"/>
    </row>
    <row r="194" spans="1:6" x14ac:dyDescent="0.25">
      <c r="A194" s="25" t="s">
        <v>224</v>
      </c>
      <c r="B194" s="38" t="s">
        <v>29</v>
      </c>
      <c r="C194" s="39" t="s">
        <v>60</v>
      </c>
      <c r="D194" s="39">
        <v>46148</v>
      </c>
      <c r="E194" s="60" t="s">
        <v>206</v>
      </c>
      <c r="F194" s="31"/>
    </row>
    <row r="195" spans="1:6" x14ac:dyDescent="0.25">
      <c r="A195" s="25"/>
      <c r="B195" s="38" t="s">
        <v>51</v>
      </c>
      <c r="C195" s="39" t="s">
        <v>60</v>
      </c>
      <c r="D195" s="39" t="s">
        <v>229</v>
      </c>
      <c r="E195" s="60" t="s">
        <v>83</v>
      </c>
      <c r="F195" s="31" t="s">
        <v>14</v>
      </c>
    </row>
    <row r="196" spans="1:6" x14ac:dyDescent="0.25">
      <c r="A196" s="25"/>
      <c r="B196" s="38" t="s">
        <v>400</v>
      </c>
      <c r="C196" s="64" t="s">
        <v>61</v>
      </c>
      <c r="D196" s="67">
        <v>46088</v>
      </c>
      <c r="E196" s="60" t="s">
        <v>16</v>
      </c>
      <c r="F196" s="31"/>
    </row>
    <row r="197" spans="1:6" x14ac:dyDescent="0.25">
      <c r="A197" s="25"/>
      <c r="B197" s="38" t="s">
        <v>401</v>
      </c>
      <c r="C197" s="64" t="s">
        <v>61</v>
      </c>
      <c r="D197" s="67">
        <v>46088</v>
      </c>
      <c r="E197" s="60" t="s">
        <v>33</v>
      </c>
      <c r="F197" s="31"/>
    </row>
    <row r="198" spans="1:6" x14ac:dyDescent="0.25">
      <c r="A198" s="52"/>
      <c r="B198" s="51"/>
      <c r="C198" s="54"/>
      <c r="D198" s="55"/>
      <c r="E198" s="56"/>
      <c r="F198" s="50"/>
    </row>
    <row r="199" spans="1:6" x14ac:dyDescent="0.25">
      <c r="A199" s="25" t="s">
        <v>225</v>
      </c>
      <c r="B199" s="38" t="s">
        <v>393</v>
      </c>
      <c r="C199" s="64" t="s">
        <v>60</v>
      </c>
      <c r="D199" s="39" t="s">
        <v>317</v>
      </c>
      <c r="E199" s="60" t="s">
        <v>326</v>
      </c>
      <c r="F199" s="31"/>
    </row>
    <row r="200" spans="1:6" x14ac:dyDescent="0.25">
      <c r="A200" s="25"/>
      <c r="B200" s="38" t="s">
        <v>392</v>
      </c>
      <c r="C200" s="64" t="s">
        <v>60</v>
      </c>
      <c r="D200" s="39" t="s">
        <v>381</v>
      </c>
      <c r="E200" s="60"/>
      <c r="F200" s="31"/>
    </row>
    <row r="201" spans="1:6" x14ac:dyDescent="0.25">
      <c r="A201" s="25"/>
      <c r="B201" s="38" t="s">
        <v>394</v>
      </c>
      <c r="C201" s="64" t="s">
        <v>61</v>
      </c>
      <c r="D201" s="39" t="s">
        <v>230</v>
      </c>
      <c r="E201" s="60"/>
      <c r="F201" s="31"/>
    </row>
    <row r="202" spans="1:6" x14ac:dyDescent="0.25">
      <c r="A202" s="25"/>
      <c r="B202" s="38" t="s">
        <v>328</v>
      </c>
      <c r="C202" s="39" t="s">
        <v>150</v>
      </c>
      <c r="D202" s="67">
        <v>46302</v>
      </c>
      <c r="E202" s="60"/>
      <c r="F202" s="31"/>
    </row>
    <row r="203" spans="1:6" x14ac:dyDescent="0.25">
      <c r="A203" s="25"/>
      <c r="B203" s="38" t="s">
        <v>329</v>
      </c>
      <c r="C203" s="39" t="s">
        <v>150</v>
      </c>
      <c r="D203" s="67">
        <v>46302</v>
      </c>
      <c r="E203" s="60"/>
      <c r="F203" s="31"/>
    </row>
    <row r="204" spans="1:6" x14ac:dyDescent="0.25">
      <c r="A204" s="25"/>
      <c r="B204" s="38" t="s">
        <v>330</v>
      </c>
      <c r="C204" s="39" t="s">
        <v>150</v>
      </c>
      <c r="D204" s="67">
        <v>46302</v>
      </c>
      <c r="E204" s="60"/>
      <c r="F204" s="31"/>
    </row>
    <row r="205" spans="1:6" x14ac:dyDescent="0.25">
      <c r="A205" s="25"/>
      <c r="B205" s="38" t="s">
        <v>255</v>
      </c>
      <c r="C205" s="39" t="s">
        <v>150</v>
      </c>
      <c r="D205" s="67">
        <v>46302</v>
      </c>
      <c r="E205" s="60"/>
      <c r="F205" s="31"/>
    </row>
    <row r="206" spans="1:6" x14ac:dyDescent="0.25">
      <c r="A206" s="25"/>
      <c r="B206" s="38" t="s">
        <v>334</v>
      </c>
      <c r="C206" s="39" t="s">
        <v>150</v>
      </c>
      <c r="D206" s="67">
        <v>46302</v>
      </c>
      <c r="E206" s="60"/>
      <c r="F206" s="31"/>
    </row>
    <row r="207" spans="1:6" x14ac:dyDescent="0.25">
      <c r="A207" s="25"/>
      <c r="B207" s="38" t="s">
        <v>331</v>
      </c>
      <c r="C207" s="39" t="s">
        <v>150</v>
      </c>
      <c r="D207" s="67">
        <v>46302</v>
      </c>
      <c r="E207" s="60"/>
      <c r="F207" s="31"/>
    </row>
    <row r="208" spans="1:6" x14ac:dyDescent="0.25">
      <c r="A208" s="25"/>
      <c r="B208" s="38" t="s">
        <v>332</v>
      </c>
      <c r="C208" s="39" t="s">
        <v>150</v>
      </c>
      <c r="D208" s="67">
        <v>46302</v>
      </c>
      <c r="E208" s="60"/>
      <c r="F208" s="31"/>
    </row>
    <row r="209" spans="1:6" x14ac:dyDescent="0.25">
      <c r="A209" s="25"/>
      <c r="B209" s="38" t="s">
        <v>256</v>
      </c>
      <c r="C209" s="39" t="s">
        <v>150</v>
      </c>
      <c r="D209" s="67">
        <v>46302</v>
      </c>
      <c r="E209" s="60"/>
      <c r="F209" s="31"/>
    </row>
    <row r="210" spans="1:6" x14ac:dyDescent="0.25">
      <c r="A210" s="25"/>
      <c r="B210" s="38" t="s">
        <v>333</v>
      </c>
      <c r="C210" s="39" t="s">
        <v>150</v>
      </c>
      <c r="D210" s="67">
        <v>46302</v>
      </c>
      <c r="E210" s="60"/>
      <c r="F210" s="31"/>
    </row>
    <row r="211" spans="1:6" x14ac:dyDescent="0.25">
      <c r="A211" s="25"/>
      <c r="B211" s="38" t="s">
        <v>336</v>
      </c>
      <c r="C211" s="39" t="s">
        <v>150</v>
      </c>
      <c r="D211" s="67">
        <v>46302</v>
      </c>
      <c r="E211" s="60"/>
      <c r="F211" s="31"/>
    </row>
    <row r="212" spans="1:6" x14ac:dyDescent="0.25">
      <c r="A212" s="25"/>
      <c r="B212" s="38" t="s">
        <v>335</v>
      </c>
      <c r="C212" s="39" t="s">
        <v>150</v>
      </c>
      <c r="D212" s="67">
        <v>46302</v>
      </c>
      <c r="E212" s="60"/>
      <c r="F212" s="31"/>
    </row>
    <row r="213" spans="1:6" x14ac:dyDescent="0.25">
      <c r="A213" s="25"/>
      <c r="B213" s="38" t="s">
        <v>256</v>
      </c>
      <c r="C213" s="39" t="s">
        <v>150</v>
      </c>
      <c r="D213" s="67">
        <v>46302</v>
      </c>
      <c r="E213" s="60"/>
      <c r="F213" s="31"/>
    </row>
    <row r="214" spans="1:6" x14ac:dyDescent="0.25">
      <c r="A214" s="25"/>
      <c r="B214" s="38" t="s">
        <v>337</v>
      </c>
      <c r="C214" s="39" t="s">
        <v>150</v>
      </c>
      <c r="D214" s="67">
        <v>46302</v>
      </c>
      <c r="E214" s="60"/>
      <c r="F214" s="31"/>
    </row>
    <row r="215" spans="1:6" x14ac:dyDescent="0.25">
      <c r="A215" s="25"/>
      <c r="B215" s="38" t="s">
        <v>338</v>
      </c>
      <c r="C215" s="39" t="s">
        <v>150</v>
      </c>
      <c r="D215" s="67">
        <v>46302</v>
      </c>
      <c r="E215" s="60"/>
      <c r="F215" s="31"/>
    </row>
    <row r="216" spans="1:6" x14ac:dyDescent="0.25">
      <c r="A216" s="25"/>
      <c r="B216" s="38" t="s">
        <v>339</v>
      </c>
      <c r="C216" s="39" t="s">
        <v>150</v>
      </c>
      <c r="D216" s="67">
        <v>46302</v>
      </c>
      <c r="E216" s="60"/>
      <c r="F216" s="31"/>
    </row>
    <row r="217" spans="1:6" x14ac:dyDescent="0.25">
      <c r="A217" s="25"/>
      <c r="B217" s="38" t="s">
        <v>257</v>
      </c>
      <c r="C217" s="39" t="s">
        <v>150</v>
      </c>
      <c r="D217" s="67">
        <v>46302</v>
      </c>
      <c r="E217" s="60"/>
      <c r="F217" s="31"/>
    </row>
    <row r="218" spans="1:6" x14ac:dyDescent="0.25">
      <c r="A218" s="25"/>
      <c r="B218" s="38" t="s">
        <v>340</v>
      </c>
      <c r="C218" s="39" t="s">
        <v>150</v>
      </c>
      <c r="D218" s="67">
        <v>46302</v>
      </c>
      <c r="E218" s="60"/>
      <c r="F218" s="31"/>
    </row>
    <row r="219" spans="1:6" x14ac:dyDescent="0.25">
      <c r="A219" s="25"/>
      <c r="B219" s="38" t="s">
        <v>341</v>
      </c>
      <c r="C219" s="39" t="s">
        <v>150</v>
      </c>
      <c r="D219" s="67">
        <v>46302</v>
      </c>
      <c r="E219" s="60"/>
      <c r="F219" s="31"/>
    </row>
    <row r="220" spans="1:6" x14ac:dyDescent="0.25">
      <c r="A220" s="25"/>
      <c r="B220" s="38" t="s">
        <v>342</v>
      </c>
      <c r="C220" s="39" t="s">
        <v>150</v>
      </c>
      <c r="D220" s="67">
        <v>46302</v>
      </c>
      <c r="E220" s="60"/>
      <c r="F220" s="31"/>
    </row>
    <row r="221" spans="1:6" x14ac:dyDescent="0.25">
      <c r="A221" s="25"/>
      <c r="B221" s="38" t="s">
        <v>258</v>
      </c>
      <c r="C221" s="39" t="s">
        <v>150</v>
      </c>
      <c r="D221" s="67">
        <v>46302</v>
      </c>
      <c r="E221" s="60"/>
      <c r="F221" s="31"/>
    </row>
    <row r="222" spans="1:6" x14ac:dyDescent="0.25">
      <c r="A222" s="25"/>
      <c r="B222" s="38" t="s">
        <v>343</v>
      </c>
      <c r="C222" s="39" t="s">
        <v>150</v>
      </c>
      <c r="D222" s="67">
        <v>46302</v>
      </c>
      <c r="E222" s="60"/>
      <c r="F222" s="31"/>
    </row>
    <row r="223" spans="1:6" x14ac:dyDescent="0.25">
      <c r="A223" s="25"/>
      <c r="B223" s="38" t="s">
        <v>344</v>
      </c>
      <c r="C223" s="39" t="s">
        <v>150</v>
      </c>
      <c r="D223" s="67">
        <v>46302</v>
      </c>
      <c r="E223" s="60"/>
      <c r="F223" s="31"/>
    </row>
    <row r="224" spans="1:6" x14ac:dyDescent="0.25">
      <c r="A224" s="25"/>
      <c r="B224" s="38" t="s">
        <v>345</v>
      </c>
      <c r="C224" s="39" t="s">
        <v>150</v>
      </c>
      <c r="D224" s="67">
        <v>46302</v>
      </c>
      <c r="E224" s="60"/>
      <c r="F224" s="31"/>
    </row>
    <row r="225" spans="1:6" x14ac:dyDescent="0.25">
      <c r="A225" s="25"/>
      <c r="B225" s="38" t="s">
        <v>259</v>
      </c>
      <c r="C225" s="39" t="s">
        <v>150</v>
      </c>
      <c r="D225" s="67">
        <v>46302</v>
      </c>
      <c r="E225" s="60"/>
      <c r="F225" s="31"/>
    </row>
    <row r="226" spans="1:6" x14ac:dyDescent="0.25">
      <c r="A226" s="25"/>
      <c r="B226" s="38" t="s">
        <v>346</v>
      </c>
      <c r="C226" s="39" t="s">
        <v>150</v>
      </c>
      <c r="D226" s="67">
        <v>46302</v>
      </c>
      <c r="E226" s="60"/>
      <c r="F226" s="31"/>
    </row>
    <row r="227" spans="1:6" x14ac:dyDescent="0.25">
      <c r="A227" s="25"/>
      <c r="B227" s="38" t="s">
        <v>347</v>
      </c>
      <c r="C227" s="39" t="s">
        <v>150</v>
      </c>
      <c r="D227" s="67">
        <v>46302</v>
      </c>
      <c r="E227" s="60"/>
      <c r="F227" s="31"/>
    </row>
    <row r="228" spans="1:6" x14ac:dyDescent="0.25">
      <c r="A228" s="25"/>
      <c r="B228" s="38" t="s">
        <v>348</v>
      </c>
      <c r="C228" s="39" t="s">
        <v>150</v>
      </c>
      <c r="D228" s="67">
        <v>46302</v>
      </c>
      <c r="E228" s="60"/>
      <c r="F228" s="31"/>
    </row>
    <row r="229" spans="1:6" x14ac:dyDescent="0.25">
      <c r="A229" s="25"/>
      <c r="B229" s="38" t="s">
        <v>260</v>
      </c>
      <c r="C229" s="39" t="s">
        <v>150</v>
      </c>
      <c r="D229" s="67">
        <v>46302</v>
      </c>
      <c r="E229" s="60"/>
      <c r="F229" s="31"/>
    </row>
    <row r="230" spans="1:6" x14ac:dyDescent="0.25">
      <c r="A230" s="25"/>
      <c r="B230" s="38" t="s">
        <v>349</v>
      </c>
      <c r="C230" s="39" t="s">
        <v>150</v>
      </c>
      <c r="D230" s="67">
        <v>46302</v>
      </c>
      <c r="E230" s="60"/>
      <c r="F230" s="31"/>
    </row>
    <row r="231" spans="1:6" x14ac:dyDescent="0.25">
      <c r="A231" s="25"/>
      <c r="B231" s="38" t="s">
        <v>350</v>
      </c>
      <c r="C231" s="39" t="s">
        <v>150</v>
      </c>
      <c r="D231" s="67">
        <v>46302</v>
      </c>
      <c r="E231" s="60"/>
      <c r="F231" s="31"/>
    </row>
    <row r="232" spans="1:6" x14ac:dyDescent="0.25">
      <c r="A232" s="25"/>
      <c r="B232" s="38" t="s">
        <v>351</v>
      </c>
      <c r="C232" s="39" t="s">
        <v>150</v>
      </c>
      <c r="D232" s="67">
        <v>46302</v>
      </c>
      <c r="E232" s="60"/>
      <c r="F232" s="31"/>
    </row>
    <row r="233" spans="1:6" x14ac:dyDescent="0.25">
      <c r="A233" s="25"/>
      <c r="B233" s="38" t="s">
        <v>261</v>
      </c>
      <c r="C233" s="39" t="s">
        <v>150</v>
      </c>
      <c r="D233" s="67">
        <v>46302</v>
      </c>
      <c r="E233" s="60"/>
      <c r="F233" s="31"/>
    </row>
    <row r="234" spans="1:6" x14ac:dyDescent="0.25">
      <c r="A234" s="25"/>
      <c r="B234" s="38" t="s">
        <v>352</v>
      </c>
      <c r="C234" s="39" t="s">
        <v>150</v>
      </c>
      <c r="D234" s="67">
        <v>46302</v>
      </c>
      <c r="E234" s="60"/>
      <c r="F234" s="31"/>
    </row>
    <row r="235" spans="1:6" x14ac:dyDescent="0.25">
      <c r="A235" s="25"/>
      <c r="B235" s="38" t="s">
        <v>353</v>
      </c>
      <c r="C235" s="39" t="s">
        <v>150</v>
      </c>
      <c r="D235" s="67">
        <v>46302</v>
      </c>
      <c r="E235" s="60"/>
      <c r="F235" s="31"/>
    </row>
    <row r="236" spans="1:6" x14ac:dyDescent="0.25">
      <c r="A236" s="25"/>
      <c r="B236" s="38" t="s">
        <v>354</v>
      </c>
      <c r="C236" s="39" t="s">
        <v>150</v>
      </c>
      <c r="D236" s="67">
        <v>46302</v>
      </c>
      <c r="E236" s="60"/>
      <c r="F236" s="31"/>
    </row>
    <row r="237" spans="1:6" x14ac:dyDescent="0.25">
      <c r="A237" s="25"/>
      <c r="B237" s="38" t="s">
        <v>262</v>
      </c>
      <c r="C237" s="39" t="s">
        <v>150</v>
      </c>
      <c r="D237" s="67">
        <v>46302</v>
      </c>
      <c r="E237" s="60"/>
      <c r="F237" s="31"/>
    </row>
    <row r="238" spans="1:6" x14ac:dyDescent="0.25">
      <c r="A238" s="25"/>
      <c r="B238" s="38" t="s">
        <v>355</v>
      </c>
      <c r="C238" s="39" t="s">
        <v>150</v>
      </c>
      <c r="D238" s="67">
        <v>46302</v>
      </c>
      <c r="E238" s="60"/>
      <c r="F238" s="31"/>
    </row>
    <row r="239" spans="1:6" x14ac:dyDescent="0.25">
      <c r="A239" s="25"/>
      <c r="B239" s="38" t="s">
        <v>356</v>
      </c>
      <c r="C239" s="39" t="s">
        <v>150</v>
      </c>
      <c r="D239" s="67">
        <v>46302</v>
      </c>
      <c r="E239" s="60"/>
      <c r="F239" s="31"/>
    </row>
    <row r="240" spans="1:6" x14ac:dyDescent="0.25">
      <c r="A240" s="25"/>
      <c r="B240" s="38" t="s">
        <v>357</v>
      </c>
      <c r="C240" s="39" t="s">
        <v>150</v>
      </c>
      <c r="D240" s="67">
        <v>46302</v>
      </c>
      <c r="E240" s="60"/>
      <c r="F240" s="31"/>
    </row>
    <row r="241" spans="1:6" x14ac:dyDescent="0.25">
      <c r="A241" s="25"/>
      <c r="B241" s="38" t="s">
        <v>263</v>
      </c>
      <c r="C241" s="39" t="s">
        <v>150</v>
      </c>
      <c r="D241" s="67">
        <v>46302</v>
      </c>
      <c r="E241" s="60"/>
      <c r="F241" s="31"/>
    </row>
    <row r="242" spans="1:6" x14ac:dyDescent="0.25">
      <c r="A242" s="25"/>
      <c r="B242" s="38" t="s">
        <v>358</v>
      </c>
      <c r="C242" s="39" t="s">
        <v>150</v>
      </c>
      <c r="D242" s="67">
        <v>46302</v>
      </c>
      <c r="E242" s="60"/>
      <c r="F242" s="31"/>
    </row>
    <row r="243" spans="1:6" x14ac:dyDescent="0.25">
      <c r="A243" s="25"/>
      <c r="B243" s="38" t="s">
        <v>359</v>
      </c>
      <c r="C243" s="39" t="s">
        <v>150</v>
      </c>
      <c r="D243" s="67">
        <v>46302</v>
      </c>
      <c r="E243" s="60"/>
      <c r="F243" s="31"/>
    </row>
    <row r="244" spans="1:6" x14ac:dyDescent="0.25">
      <c r="A244" s="25"/>
      <c r="B244" s="38" t="s">
        <v>360</v>
      </c>
      <c r="C244" s="39" t="s">
        <v>150</v>
      </c>
      <c r="D244" s="67">
        <v>46302</v>
      </c>
      <c r="E244" s="60"/>
      <c r="F244" s="31"/>
    </row>
    <row r="245" spans="1:6" x14ac:dyDescent="0.25">
      <c r="A245" s="25"/>
      <c r="B245" s="38" t="s">
        <v>264</v>
      </c>
      <c r="C245" s="39" t="s">
        <v>150</v>
      </c>
      <c r="D245" s="67">
        <v>46302</v>
      </c>
      <c r="E245" s="60"/>
      <c r="F245" s="31"/>
    </row>
    <row r="246" spans="1:6" x14ac:dyDescent="0.25">
      <c r="A246" s="25"/>
      <c r="B246" s="38" t="s">
        <v>361</v>
      </c>
      <c r="C246" s="39" t="s">
        <v>150</v>
      </c>
      <c r="D246" s="67">
        <v>46302</v>
      </c>
      <c r="E246" s="60"/>
      <c r="F246" s="31"/>
    </row>
    <row r="247" spans="1:6" x14ac:dyDescent="0.25">
      <c r="A247" s="25"/>
      <c r="B247" s="38" t="s">
        <v>362</v>
      </c>
      <c r="C247" s="39" t="s">
        <v>150</v>
      </c>
      <c r="D247" s="67">
        <v>46302</v>
      </c>
      <c r="E247" s="60"/>
      <c r="F247" s="31"/>
    </row>
    <row r="248" spans="1:6" x14ac:dyDescent="0.25">
      <c r="A248" s="25"/>
      <c r="B248" s="38" t="s">
        <v>363</v>
      </c>
      <c r="C248" s="39" t="s">
        <v>150</v>
      </c>
      <c r="D248" s="67">
        <v>46302</v>
      </c>
      <c r="E248" s="60"/>
      <c r="F248" s="31"/>
    </row>
    <row r="249" spans="1:6" x14ac:dyDescent="0.25">
      <c r="A249" s="25"/>
      <c r="B249" s="38" t="s">
        <v>265</v>
      </c>
      <c r="C249" s="39" t="s">
        <v>150</v>
      </c>
      <c r="D249" s="67">
        <v>46302</v>
      </c>
      <c r="E249" s="60"/>
      <c r="F249" s="31"/>
    </row>
    <row r="250" spans="1:6" x14ac:dyDescent="0.25">
      <c r="A250" s="25"/>
      <c r="B250" s="38" t="s">
        <v>364</v>
      </c>
      <c r="C250" s="39" t="s">
        <v>150</v>
      </c>
      <c r="D250" s="67">
        <v>46302</v>
      </c>
      <c r="E250" s="60"/>
      <c r="F250" s="31"/>
    </row>
    <row r="251" spans="1:6" x14ac:dyDescent="0.25">
      <c r="A251" s="25"/>
      <c r="B251" s="38" t="s">
        <v>365</v>
      </c>
      <c r="C251" s="39" t="s">
        <v>150</v>
      </c>
      <c r="D251" s="67">
        <v>46302</v>
      </c>
      <c r="E251" s="60"/>
      <c r="F251" s="31"/>
    </row>
    <row r="252" spans="1:6" x14ac:dyDescent="0.25">
      <c r="A252" s="25"/>
      <c r="B252" s="38" t="s">
        <v>366</v>
      </c>
      <c r="C252" s="39" t="s">
        <v>150</v>
      </c>
      <c r="D252" s="67">
        <v>46302</v>
      </c>
      <c r="E252" s="60"/>
      <c r="F252" s="31"/>
    </row>
    <row r="253" spans="1:6" x14ac:dyDescent="0.25">
      <c r="A253" s="25"/>
      <c r="B253" s="38" t="s">
        <v>266</v>
      </c>
      <c r="C253" s="39" t="s">
        <v>150</v>
      </c>
      <c r="D253" s="67">
        <v>46302</v>
      </c>
      <c r="E253" s="60"/>
      <c r="F253" s="31"/>
    </row>
    <row r="254" spans="1:6" x14ac:dyDescent="0.25">
      <c r="A254" s="25"/>
      <c r="B254" s="38" t="s">
        <v>367</v>
      </c>
      <c r="C254" s="39" t="s">
        <v>150</v>
      </c>
      <c r="D254" s="67">
        <v>46302</v>
      </c>
      <c r="E254" s="60"/>
      <c r="F254" s="31"/>
    </row>
    <row r="255" spans="1:6" x14ac:dyDescent="0.25">
      <c r="A255" s="25"/>
      <c r="B255" s="38" t="s">
        <v>368</v>
      </c>
      <c r="C255" s="39" t="s">
        <v>150</v>
      </c>
      <c r="D255" s="67">
        <v>46302</v>
      </c>
      <c r="E255" s="60"/>
      <c r="F255" s="31"/>
    </row>
    <row r="256" spans="1:6" x14ac:dyDescent="0.25">
      <c r="A256" s="25"/>
      <c r="B256" s="38" t="s">
        <v>369</v>
      </c>
      <c r="C256" s="39" t="s">
        <v>150</v>
      </c>
      <c r="D256" s="67">
        <v>46302</v>
      </c>
      <c r="E256" s="60"/>
      <c r="F256" s="31"/>
    </row>
    <row r="257" spans="1:6" x14ac:dyDescent="0.25">
      <c r="A257" s="25"/>
      <c r="B257" s="38" t="s">
        <v>267</v>
      </c>
      <c r="C257" s="39" t="s">
        <v>150</v>
      </c>
      <c r="D257" s="67">
        <v>46302</v>
      </c>
      <c r="E257" s="60"/>
      <c r="F257" s="31"/>
    </row>
    <row r="258" spans="1:6" x14ac:dyDescent="0.25">
      <c r="A258" s="25"/>
      <c r="B258" s="38" t="s">
        <v>370</v>
      </c>
      <c r="C258" s="39" t="s">
        <v>150</v>
      </c>
      <c r="D258" s="67">
        <v>46302</v>
      </c>
      <c r="E258" s="60"/>
      <c r="F258" s="31"/>
    </row>
    <row r="259" spans="1:6" x14ac:dyDescent="0.25">
      <c r="A259" s="25"/>
      <c r="B259" s="38" t="s">
        <v>371</v>
      </c>
      <c r="C259" s="39" t="s">
        <v>150</v>
      </c>
      <c r="D259" s="67">
        <v>46302</v>
      </c>
      <c r="E259" s="60"/>
      <c r="F259" s="31"/>
    </row>
    <row r="260" spans="1:6" x14ac:dyDescent="0.25">
      <c r="A260" s="25"/>
      <c r="B260" s="38" t="s">
        <v>372</v>
      </c>
      <c r="C260" s="39" t="s">
        <v>150</v>
      </c>
      <c r="D260" s="67">
        <v>46302</v>
      </c>
      <c r="E260" s="60"/>
      <c r="F260" s="31"/>
    </row>
    <row r="261" spans="1:6" x14ac:dyDescent="0.25">
      <c r="A261" s="25"/>
      <c r="B261" s="38" t="s">
        <v>268</v>
      </c>
      <c r="C261" s="39" t="s">
        <v>150</v>
      </c>
      <c r="D261" s="67">
        <v>46302</v>
      </c>
      <c r="E261" s="60"/>
      <c r="F261" s="31"/>
    </row>
    <row r="262" spans="1:6" x14ac:dyDescent="0.25">
      <c r="A262" s="25"/>
      <c r="B262" s="38" t="s">
        <v>373</v>
      </c>
      <c r="C262" s="39" t="s">
        <v>150</v>
      </c>
      <c r="D262" s="67">
        <v>46302</v>
      </c>
      <c r="E262" s="60"/>
      <c r="F262" s="31"/>
    </row>
    <row r="263" spans="1:6" x14ac:dyDescent="0.25">
      <c r="A263" s="25"/>
      <c r="B263" s="38" t="s">
        <v>374</v>
      </c>
      <c r="C263" s="39" t="s">
        <v>150</v>
      </c>
      <c r="D263" s="67">
        <v>46302</v>
      </c>
      <c r="E263" s="60"/>
      <c r="F263" s="31"/>
    </row>
    <row r="264" spans="1:6" x14ac:dyDescent="0.25">
      <c r="A264" s="25"/>
      <c r="B264" s="38" t="s">
        <v>375</v>
      </c>
      <c r="C264" s="39" t="s">
        <v>150</v>
      </c>
      <c r="D264" s="67">
        <v>46302</v>
      </c>
      <c r="E264" s="60"/>
      <c r="F264" s="31"/>
    </row>
    <row r="265" spans="1:6" x14ac:dyDescent="0.25">
      <c r="A265" s="25"/>
      <c r="B265" s="38" t="s">
        <v>269</v>
      </c>
      <c r="C265" s="39" t="s">
        <v>150</v>
      </c>
      <c r="D265" s="67">
        <v>46302</v>
      </c>
      <c r="E265" s="60"/>
      <c r="F265" s="31"/>
    </row>
    <row r="266" spans="1:6" x14ac:dyDescent="0.25">
      <c r="A266" s="25"/>
      <c r="B266" s="38" t="s">
        <v>376</v>
      </c>
      <c r="C266" s="39" t="s">
        <v>150</v>
      </c>
      <c r="D266" s="67">
        <v>46302</v>
      </c>
      <c r="E266" s="60"/>
      <c r="F266" s="31"/>
    </row>
    <row r="267" spans="1:6" x14ac:dyDescent="0.25">
      <c r="A267" s="25"/>
      <c r="B267" s="38"/>
      <c r="C267" s="39" t="s">
        <v>150</v>
      </c>
      <c r="D267" s="67">
        <v>46302</v>
      </c>
      <c r="E267" s="60"/>
      <c r="F267" s="31"/>
    </row>
    <row r="268" spans="1:6" x14ac:dyDescent="0.25">
      <c r="A268" s="25"/>
      <c r="B268" s="38" t="s">
        <v>246</v>
      </c>
      <c r="C268" s="39" t="s">
        <v>150</v>
      </c>
      <c r="D268" s="67">
        <v>46302</v>
      </c>
      <c r="E268" s="60"/>
      <c r="F268" s="31"/>
    </row>
    <row r="269" spans="1:6" x14ac:dyDescent="0.25">
      <c r="A269" s="25"/>
      <c r="B269" s="38" t="s">
        <v>247</v>
      </c>
      <c r="C269" s="39" t="s">
        <v>150</v>
      </c>
      <c r="D269" s="67">
        <v>46302</v>
      </c>
      <c r="E269" s="60"/>
      <c r="F269" s="31"/>
    </row>
    <row r="270" spans="1:6" x14ac:dyDescent="0.25">
      <c r="A270" s="25"/>
      <c r="B270" s="38" t="s">
        <v>248</v>
      </c>
      <c r="C270" s="39" t="s">
        <v>150</v>
      </c>
      <c r="D270" s="67">
        <v>46302</v>
      </c>
      <c r="E270" s="60"/>
      <c r="F270" s="31"/>
    </row>
    <row r="271" spans="1:6" x14ac:dyDescent="0.25">
      <c r="A271" s="25"/>
      <c r="B271" s="38" t="s">
        <v>249</v>
      </c>
      <c r="C271" s="39" t="s">
        <v>150</v>
      </c>
      <c r="D271" s="67">
        <v>46302</v>
      </c>
      <c r="E271" s="60"/>
      <c r="F271" s="31"/>
    </row>
    <row r="272" spans="1:6" x14ac:dyDescent="0.25">
      <c r="A272" s="25"/>
      <c r="B272" s="38" t="s">
        <v>250</v>
      </c>
      <c r="C272" s="39" t="s">
        <v>150</v>
      </c>
      <c r="D272" s="67">
        <v>46302</v>
      </c>
      <c r="E272" s="60"/>
      <c r="F272" s="31"/>
    </row>
    <row r="273" spans="1:6" x14ac:dyDescent="0.25">
      <c r="A273" s="25"/>
      <c r="B273" s="38" t="s">
        <v>251</v>
      </c>
      <c r="C273" s="39" t="s">
        <v>150</v>
      </c>
      <c r="D273" s="67">
        <v>46302</v>
      </c>
      <c r="E273" s="60"/>
      <c r="F273" s="31"/>
    </row>
    <row r="274" spans="1:6" x14ac:dyDescent="0.25">
      <c r="A274" s="25"/>
      <c r="B274" s="38" t="s">
        <v>252</v>
      </c>
      <c r="C274" s="39" t="s">
        <v>150</v>
      </c>
      <c r="D274" s="67">
        <v>46302</v>
      </c>
      <c r="E274" s="60"/>
      <c r="F274" s="31"/>
    </row>
    <row r="275" spans="1:6" x14ac:dyDescent="0.25">
      <c r="A275" s="25"/>
      <c r="B275" s="38" t="s">
        <v>253</v>
      </c>
      <c r="C275" s="39" t="s">
        <v>150</v>
      </c>
      <c r="D275" s="67">
        <v>46302</v>
      </c>
      <c r="E275" s="60"/>
      <c r="F275" s="31"/>
    </row>
    <row r="276" spans="1:6" x14ac:dyDescent="0.25">
      <c r="A276" s="25"/>
      <c r="B276" s="38" t="s">
        <v>254</v>
      </c>
      <c r="C276" s="39" t="s">
        <v>150</v>
      </c>
      <c r="D276" s="67">
        <v>46302</v>
      </c>
      <c r="E276" s="60"/>
      <c r="F276" s="31"/>
    </row>
    <row r="277" spans="1:6" x14ac:dyDescent="0.25">
      <c r="A277" s="61"/>
      <c r="B277" s="62"/>
      <c r="C277" s="63"/>
      <c r="D277" s="65"/>
      <c r="E277" s="66"/>
      <c r="F277" s="57"/>
    </row>
    <row r="278" spans="1:6" x14ac:dyDescent="0.25">
      <c r="A278" s="52"/>
      <c r="B278" s="51"/>
      <c r="C278" s="54"/>
      <c r="D278" s="55"/>
      <c r="E278" s="56"/>
      <c r="F278" s="50"/>
    </row>
    <row r="279" spans="1:6" x14ac:dyDescent="0.25">
      <c r="A279" s="25" t="s">
        <v>232</v>
      </c>
      <c r="B279" s="38" t="s">
        <v>233</v>
      </c>
      <c r="C279" s="39" t="s">
        <v>60</v>
      </c>
      <c r="D279" s="39" t="s">
        <v>237</v>
      </c>
      <c r="E279" s="60" t="s">
        <v>35</v>
      </c>
      <c r="F279" s="40" t="s">
        <v>14</v>
      </c>
    </row>
    <row r="280" spans="1:6" x14ac:dyDescent="0.25">
      <c r="A280" s="25"/>
      <c r="B280" s="38" t="s">
        <v>382</v>
      </c>
      <c r="C280" s="39" t="s">
        <v>60</v>
      </c>
      <c r="D280" s="39" t="s">
        <v>395</v>
      </c>
      <c r="E280" s="60"/>
      <c r="F280" s="40"/>
    </row>
    <row r="281" spans="1:6" x14ac:dyDescent="0.25">
      <c r="A281" s="52"/>
      <c r="B281" s="51"/>
      <c r="C281" s="54"/>
      <c r="D281" s="55"/>
      <c r="E281" s="56"/>
      <c r="F281" s="50"/>
    </row>
    <row r="282" spans="1:6" x14ac:dyDescent="0.25">
      <c r="A282" s="25" t="s">
        <v>235</v>
      </c>
      <c r="B282" s="38" t="s">
        <v>51</v>
      </c>
      <c r="C282" s="39" t="s">
        <v>60</v>
      </c>
      <c r="D282" s="39">
        <v>46148</v>
      </c>
      <c r="E282" s="60" t="s">
        <v>119</v>
      </c>
      <c r="F282" s="31"/>
    </row>
    <row r="283" spans="1:6" x14ac:dyDescent="0.25">
      <c r="A283" s="25"/>
      <c r="B283" s="38" t="s">
        <v>226</v>
      </c>
      <c r="C283" s="64" t="s">
        <v>61</v>
      </c>
      <c r="D283" s="67">
        <v>46088</v>
      </c>
      <c r="E283" s="58" t="s">
        <v>33</v>
      </c>
      <c r="F283" s="31"/>
    </row>
    <row r="284" spans="1:6" x14ac:dyDescent="0.25">
      <c r="A284" s="52"/>
      <c r="B284" s="51"/>
      <c r="C284" s="54"/>
      <c r="D284" s="55"/>
      <c r="E284" s="56"/>
      <c r="F284" s="50"/>
    </row>
    <row r="285" spans="1:6" x14ac:dyDescent="0.25">
      <c r="A285" s="25" t="s">
        <v>234</v>
      </c>
      <c r="B285" s="38" t="s">
        <v>239</v>
      </c>
      <c r="C285" s="39" t="s">
        <v>60</v>
      </c>
      <c r="D285" s="39" t="s">
        <v>231</v>
      </c>
      <c r="E285" s="60" t="s">
        <v>206</v>
      </c>
      <c r="F285" s="40" t="s">
        <v>242</v>
      </c>
    </row>
    <row r="286" spans="1:6" x14ac:dyDescent="0.25">
      <c r="A286" s="25"/>
      <c r="B286" s="38" t="s">
        <v>226</v>
      </c>
      <c r="C286" s="39" t="s">
        <v>60</v>
      </c>
      <c r="D286" s="39" t="s">
        <v>300</v>
      </c>
      <c r="E286" s="58"/>
      <c r="F286" s="31"/>
    </row>
    <row r="287" spans="1:6" x14ac:dyDescent="0.25">
      <c r="A287" s="52"/>
      <c r="B287" s="51"/>
      <c r="C287" s="54"/>
      <c r="D287" s="55"/>
      <c r="E287" s="56"/>
      <c r="F287" s="50"/>
    </row>
    <row r="288" spans="1:6" x14ac:dyDescent="0.25">
      <c r="A288" s="38" t="s">
        <v>236</v>
      </c>
      <c r="B288" s="38" t="s">
        <v>303</v>
      </c>
      <c r="C288" s="39" t="s">
        <v>60</v>
      </c>
      <c r="D288" s="39" t="s">
        <v>306</v>
      </c>
      <c r="E288" s="41" t="s">
        <v>309</v>
      </c>
      <c r="F288" s="40" t="s">
        <v>242</v>
      </c>
    </row>
    <row r="289" spans="1:6" x14ac:dyDescent="0.25">
      <c r="A289" s="25"/>
      <c r="B289" s="38" t="s">
        <v>304</v>
      </c>
      <c r="C289" s="39" t="s">
        <v>60</v>
      </c>
      <c r="D289" s="39" t="s">
        <v>306</v>
      </c>
      <c r="E289" s="41" t="s">
        <v>308</v>
      </c>
      <c r="F289" s="40" t="s">
        <v>242</v>
      </c>
    </row>
    <row r="290" spans="1:6" x14ac:dyDescent="0.25">
      <c r="A290" s="25"/>
      <c r="B290" s="38" t="s">
        <v>305</v>
      </c>
      <c r="C290" s="64" t="s">
        <v>61</v>
      </c>
      <c r="D290" s="67">
        <v>46088</v>
      </c>
      <c r="E290" s="41" t="s">
        <v>16</v>
      </c>
      <c r="F290" s="31"/>
    </row>
    <row r="291" spans="1:6" x14ac:dyDescent="0.25">
      <c r="A291" s="25"/>
      <c r="B291" s="38" t="s">
        <v>307</v>
      </c>
      <c r="C291" s="39" t="s">
        <v>150</v>
      </c>
      <c r="D291" s="67">
        <v>46088</v>
      </c>
      <c r="E291" s="58" t="s">
        <v>33</v>
      </c>
      <c r="F291" s="31"/>
    </row>
    <row r="292" spans="1:6" x14ac:dyDescent="0.25">
      <c r="A292" s="25"/>
      <c r="B292" s="38" t="s">
        <v>134</v>
      </c>
      <c r="C292" s="39" t="s">
        <v>150</v>
      </c>
      <c r="D292" s="67">
        <v>46088</v>
      </c>
      <c r="E292" s="58" t="s">
        <v>327</v>
      </c>
      <c r="F292" s="31"/>
    </row>
    <row r="293" spans="1:6" x14ac:dyDescent="0.25">
      <c r="A293" s="52"/>
      <c r="B293" s="51"/>
      <c r="C293" s="54"/>
      <c r="D293" s="55"/>
      <c r="E293" s="56"/>
      <c r="F293" s="50"/>
    </row>
    <row r="294" spans="1:6" x14ac:dyDescent="0.25">
      <c r="A294" s="25" t="s">
        <v>270</v>
      </c>
      <c r="B294" s="38" t="s">
        <v>271</v>
      </c>
      <c r="C294" s="39" t="s">
        <v>150</v>
      </c>
      <c r="D294" s="67">
        <v>46302</v>
      </c>
      <c r="E294" s="58"/>
      <c r="F294" s="31"/>
    </row>
    <row r="295" spans="1:6" x14ac:dyDescent="0.25">
      <c r="A295" s="25"/>
      <c r="B295" s="38" t="s">
        <v>79</v>
      </c>
      <c r="C295" s="39" t="s">
        <v>60</v>
      </c>
      <c r="D295" s="39">
        <v>46362</v>
      </c>
      <c r="E295" s="58" t="s">
        <v>119</v>
      </c>
      <c r="F295" s="31"/>
    </row>
    <row r="296" spans="1:6" x14ac:dyDescent="0.25">
      <c r="A296" s="25"/>
      <c r="B296" s="38" t="s">
        <v>226</v>
      </c>
      <c r="C296" s="39" t="s">
        <v>60</v>
      </c>
      <c r="D296" s="39" t="s">
        <v>322</v>
      </c>
      <c r="E296" s="58" t="s">
        <v>16</v>
      </c>
      <c r="F296" s="31"/>
    </row>
    <row r="297" spans="1:6" x14ac:dyDescent="0.25">
      <c r="A297" s="25"/>
      <c r="B297" s="38" t="s">
        <v>273</v>
      </c>
      <c r="C297" s="64" t="s">
        <v>61</v>
      </c>
      <c r="D297" s="39">
        <v>46088</v>
      </c>
      <c r="E297" s="58" t="s">
        <v>406</v>
      </c>
      <c r="F297" s="31"/>
    </row>
    <row r="298" spans="1:6" x14ac:dyDescent="0.25">
      <c r="A298" s="25"/>
      <c r="B298" s="38" t="s">
        <v>274</v>
      </c>
      <c r="C298" s="39" t="s">
        <v>150</v>
      </c>
      <c r="D298" s="39">
        <v>46088</v>
      </c>
      <c r="E298" s="58" t="s">
        <v>213</v>
      </c>
      <c r="F298" s="31"/>
    </row>
    <row r="299" spans="1:6" x14ac:dyDescent="0.25">
      <c r="A299" s="25"/>
      <c r="B299" s="38" t="s">
        <v>275</v>
      </c>
      <c r="C299" s="64" t="s">
        <v>61</v>
      </c>
      <c r="D299" s="39">
        <v>46088</v>
      </c>
      <c r="E299" s="58" t="s">
        <v>405</v>
      </c>
      <c r="F299" s="31"/>
    </row>
    <row r="300" spans="1:6" x14ac:dyDescent="0.25">
      <c r="A300" s="25"/>
      <c r="B300" s="38"/>
      <c r="C300" s="39" t="s">
        <v>150</v>
      </c>
      <c r="D300" s="67">
        <v>46302</v>
      </c>
      <c r="E300" s="58"/>
      <c r="F300" s="31"/>
    </row>
    <row r="301" spans="1:6" x14ac:dyDescent="0.25">
      <c r="A301" s="25"/>
      <c r="B301" s="38" t="s">
        <v>276</v>
      </c>
      <c r="C301" s="39" t="s">
        <v>150</v>
      </c>
      <c r="D301" s="67">
        <v>46302</v>
      </c>
      <c r="E301" s="58"/>
      <c r="F301" s="31"/>
    </row>
    <row r="302" spans="1:6" x14ac:dyDescent="0.25">
      <c r="A302" s="25"/>
      <c r="B302" s="38" t="s">
        <v>79</v>
      </c>
      <c r="C302" s="39" t="s">
        <v>60</v>
      </c>
      <c r="D302" s="39">
        <v>46088</v>
      </c>
      <c r="E302" s="58" t="s">
        <v>206</v>
      </c>
      <c r="F302" s="31"/>
    </row>
    <row r="303" spans="1:6" x14ac:dyDescent="0.25">
      <c r="A303" s="25"/>
      <c r="B303" s="38" t="s">
        <v>226</v>
      </c>
      <c r="C303" s="39" t="s">
        <v>60</v>
      </c>
      <c r="D303" s="39" t="s">
        <v>324</v>
      </c>
      <c r="E303" s="58" t="s">
        <v>119</v>
      </c>
      <c r="F303" s="31"/>
    </row>
    <row r="304" spans="1:6" x14ac:dyDescent="0.25">
      <c r="A304" s="25"/>
      <c r="B304" s="38" t="s">
        <v>273</v>
      </c>
      <c r="C304" s="39" t="s">
        <v>150</v>
      </c>
      <c r="D304" s="39">
        <v>46088</v>
      </c>
      <c r="E304" s="58" t="s">
        <v>206</v>
      </c>
      <c r="F304" s="31"/>
    </row>
    <row r="305" spans="1:6" x14ac:dyDescent="0.25">
      <c r="A305" s="25"/>
      <c r="B305" s="38" t="s">
        <v>274</v>
      </c>
      <c r="C305" s="39" t="s">
        <v>150</v>
      </c>
      <c r="D305" s="39">
        <v>46088</v>
      </c>
      <c r="E305" s="58" t="s">
        <v>206</v>
      </c>
      <c r="F305" s="31"/>
    </row>
    <row r="306" spans="1:6" x14ac:dyDescent="0.25">
      <c r="A306" s="25"/>
      <c r="B306" s="38" t="s">
        <v>275</v>
      </c>
      <c r="C306" s="39" t="s">
        <v>150</v>
      </c>
      <c r="D306" s="39">
        <v>46088</v>
      </c>
      <c r="E306" s="58" t="s">
        <v>206</v>
      </c>
      <c r="F306" s="31"/>
    </row>
    <row r="307" spans="1:6" x14ac:dyDescent="0.25">
      <c r="A307" s="25"/>
      <c r="B307" s="38"/>
      <c r="C307" s="39" t="s">
        <v>150</v>
      </c>
      <c r="D307" s="67">
        <v>46302</v>
      </c>
      <c r="E307" s="58"/>
      <c r="F307" s="31"/>
    </row>
    <row r="308" spans="1:6" x14ac:dyDescent="0.25">
      <c r="A308" s="25"/>
      <c r="B308" s="38" t="s">
        <v>277</v>
      </c>
      <c r="C308" s="39" t="s">
        <v>150</v>
      </c>
      <c r="D308" s="67">
        <v>46302</v>
      </c>
      <c r="E308" s="58"/>
      <c r="F308" s="31"/>
    </row>
    <row r="309" spans="1:6" x14ac:dyDescent="0.25">
      <c r="A309" s="25"/>
      <c r="B309" s="38" t="s">
        <v>272</v>
      </c>
      <c r="C309" s="64" t="s">
        <v>61</v>
      </c>
      <c r="D309" s="39" t="s">
        <v>325</v>
      </c>
      <c r="E309" s="58" t="s">
        <v>206</v>
      </c>
      <c r="F309" s="31"/>
    </row>
    <row r="310" spans="1:6" x14ac:dyDescent="0.25">
      <c r="A310" s="25"/>
      <c r="B310" s="38" t="s">
        <v>273</v>
      </c>
      <c r="C310" s="39" t="s">
        <v>150</v>
      </c>
      <c r="D310" s="39">
        <v>46088</v>
      </c>
      <c r="E310" s="58" t="s">
        <v>119</v>
      </c>
      <c r="F310" s="31"/>
    </row>
    <row r="311" spans="1:6" x14ac:dyDescent="0.25">
      <c r="A311" s="25"/>
      <c r="B311" s="38" t="s">
        <v>274</v>
      </c>
      <c r="C311" s="39" t="s">
        <v>150</v>
      </c>
      <c r="D311" s="39">
        <v>46088</v>
      </c>
      <c r="E311" s="58" t="s">
        <v>407</v>
      </c>
      <c r="F311" s="31"/>
    </row>
    <row r="312" spans="1:6" x14ac:dyDescent="0.25">
      <c r="A312" s="25"/>
      <c r="B312" s="38" t="s">
        <v>275</v>
      </c>
      <c r="C312" s="39" t="s">
        <v>150</v>
      </c>
      <c r="D312" s="39">
        <v>46088</v>
      </c>
      <c r="E312" s="58" t="s">
        <v>407</v>
      </c>
      <c r="F312" s="31"/>
    </row>
    <row r="313" spans="1:6" x14ac:dyDescent="0.25">
      <c r="A313" s="25"/>
      <c r="B313" s="38"/>
      <c r="C313" s="39" t="s">
        <v>150</v>
      </c>
      <c r="D313" s="67">
        <v>46302</v>
      </c>
      <c r="E313" s="58"/>
      <c r="F313" s="31"/>
    </row>
    <row r="314" spans="1:6" x14ac:dyDescent="0.25">
      <c r="A314" s="25"/>
      <c r="B314" s="38" t="s">
        <v>278</v>
      </c>
      <c r="C314" s="39" t="s">
        <v>150</v>
      </c>
      <c r="D314" s="67">
        <v>46302</v>
      </c>
      <c r="E314" s="58"/>
      <c r="F314" s="31"/>
    </row>
    <row r="315" spans="1:6" x14ac:dyDescent="0.25">
      <c r="A315" s="25"/>
      <c r="B315" s="38" t="s">
        <v>279</v>
      </c>
      <c r="C315" s="39" t="s">
        <v>150</v>
      </c>
      <c r="D315" s="39" t="s">
        <v>293</v>
      </c>
      <c r="E315" s="39" t="s">
        <v>35</v>
      </c>
      <c r="F315" s="31"/>
    </row>
    <row r="316" spans="1:6" x14ac:dyDescent="0.25">
      <c r="A316" s="25"/>
      <c r="B316" s="38"/>
      <c r="C316" s="39" t="s">
        <v>150</v>
      </c>
      <c r="D316" s="39" t="s">
        <v>293</v>
      </c>
      <c r="E316" s="58"/>
      <c r="F316" s="31"/>
    </row>
    <row r="317" spans="1:6" x14ac:dyDescent="0.25">
      <c r="A317" s="25"/>
      <c r="B317" s="38" t="s">
        <v>280</v>
      </c>
      <c r="C317" s="39" t="s">
        <v>150</v>
      </c>
      <c r="D317" s="39" t="s">
        <v>293</v>
      </c>
      <c r="E317" s="58"/>
      <c r="F317" s="31"/>
    </row>
    <row r="318" spans="1:6" x14ac:dyDescent="0.25">
      <c r="A318" s="25"/>
      <c r="B318" s="38" t="s">
        <v>281</v>
      </c>
      <c r="C318" s="64" t="s">
        <v>60</v>
      </c>
      <c r="D318" s="39">
        <v>46148</v>
      </c>
      <c r="E318" s="58" t="s">
        <v>119</v>
      </c>
      <c r="F318" s="31"/>
    </row>
    <row r="319" spans="1:6" x14ac:dyDescent="0.25">
      <c r="A319" s="25"/>
      <c r="B319" s="38"/>
      <c r="C319" s="39" t="s">
        <v>150</v>
      </c>
      <c r="D319" s="39" t="s">
        <v>293</v>
      </c>
      <c r="E319" s="58"/>
      <c r="F319" s="31"/>
    </row>
    <row r="320" spans="1:6" x14ac:dyDescent="0.25">
      <c r="A320" s="25"/>
      <c r="B320" s="38" t="s">
        <v>282</v>
      </c>
      <c r="C320" s="39" t="s">
        <v>150</v>
      </c>
      <c r="D320" s="39" t="s">
        <v>293</v>
      </c>
      <c r="E320" s="58"/>
      <c r="F320" s="31"/>
    </row>
    <row r="321" spans="1:6" x14ac:dyDescent="0.25">
      <c r="A321" s="25"/>
      <c r="B321" s="38" t="s">
        <v>281</v>
      </c>
      <c r="C321" s="64" t="s">
        <v>61</v>
      </c>
      <c r="D321" s="39">
        <v>46302</v>
      </c>
      <c r="E321" s="39" t="s">
        <v>383</v>
      </c>
      <c r="F321" s="31"/>
    </row>
    <row r="322" spans="1:6" x14ac:dyDescent="0.25">
      <c r="A322" s="25"/>
      <c r="B322" s="38"/>
      <c r="C322" s="39" t="s">
        <v>150</v>
      </c>
      <c r="D322" s="39" t="s">
        <v>293</v>
      </c>
      <c r="E322" s="58"/>
      <c r="F322" s="31"/>
    </row>
    <row r="323" spans="1:6" x14ac:dyDescent="0.25">
      <c r="A323" s="25"/>
      <c r="B323" s="38" t="s">
        <v>283</v>
      </c>
      <c r="C323" s="39" t="s">
        <v>150</v>
      </c>
      <c r="D323" s="39" t="s">
        <v>293</v>
      </c>
      <c r="E323" s="58"/>
      <c r="F323" s="31"/>
    </row>
    <row r="324" spans="1:6" x14ac:dyDescent="0.25">
      <c r="A324" s="25"/>
      <c r="B324" s="38" t="s">
        <v>281</v>
      </c>
      <c r="C324" s="64" t="s">
        <v>61</v>
      </c>
      <c r="D324" s="39">
        <v>46302</v>
      </c>
      <c r="E324" s="39" t="s">
        <v>35</v>
      </c>
      <c r="F324" s="31"/>
    </row>
    <row r="325" spans="1:6" x14ac:dyDescent="0.25">
      <c r="A325" s="25"/>
      <c r="B325" s="38"/>
      <c r="C325" s="39" t="s">
        <v>150</v>
      </c>
      <c r="D325" s="39" t="s">
        <v>293</v>
      </c>
      <c r="E325" s="58"/>
      <c r="F325" s="31"/>
    </row>
    <row r="326" spans="1:6" x14ac:dyDescent="0.25">
      <c r="A326" s="25"/>
      <c r="B326" s="38" t="s">
        <v>284</v>
      </c>
      <c r="C326" s="39" t="s">
        <v>150</v>
      </c>
      <c r="D326" s="39" t="s">
        <v>293</v>
      </c>
      <c r="E326" s="58"/>
      <c r="F326" s="31"/>
    </row>
    <row r="327" spans="1:6" x14ac:dyDescent="0.25">
      <c r="A327" s="25"/>
      <c r="B327" s="38" t="s">
        <v>51</v>
      </c>
      <c r="C327" s="64" t="s">
        <v>61</v>
      </c>
      <c r="D327" s="39">
        <v>46302</v>
      </c>
      <c r="E327" s="39" t="s">
        <v>35</v>
      </c>
      <c r="F327" s="31"/>
    </row>
    <row r="328" spans="1:6" x14ac:dyDescent="0.25">
      <c r="A328" s="25"/>
      <c r="B328" s="38"/>
      <c r="C328" s="39" t="s">
        <v>150</v>
      </c>
      <c r="D328" s="39" t="s">
        <v>293</v>
      </c>
      <c r="E328" s="58"/>
      <c r="F328" s="31"/>
    </row>
    <row r="329" spans="1:6" x14ac:dyDescent="0.25">
      <c r="A329" s="25"/>
      <c r="B329" s="38" t="s">
        <v>285</v>
      </c>
      <c r="C329" s="39" t="s">
        <v>150</v>
      </c>
      <c r="D329" s="39" t="s">
        <v>293</v>
      </c>
      <c r="E329" s="58"/>
      <c r="F329" s="31"/>
    </row>
    <row r="330" spans="1:6" x14ac:dyDescent="0.25">
      <c r="A330" s="25"/>
      <c r="B330" s="38" t="s">
        <v>279</v>
      </c>
      <c r="C330" s="39" t="s">
        <v>150</v>
      </c>
      <c r="D330" s="39">
        <v>46302</v>
      </c>
      <c r="E330" s="39" t="s">
        <v>35</v>
      </c>
      <c r="F330" s="39"/>
    </row>
    <row r="331" spans="1:6" x14ac:dyDescent="0.25">
      <c r="A331" s="25"/>
      <c r="B331" s="38"/>
      <c r="C331" s="39" t="s">
        <v>150</v>
      </c>
      <c r="D331" s="39" t="s">
        <v>293</v>
      </c>
      <c r="E331" s="39"/>
      <c r="F331" s="39"/>
    </row>
    <row r="332" spans="1:6" x14ac:dyDescent="0.25">
      <c r="A332" s="25"/>
      <c r="B332" s="38" t="s">
        <v>286</v>
      </c>
      <c r="C332" s="39" t="s">
        <v>150</v>
      </c>
      <c r="D332" s="39" t="s">
        <v>293</v>
      </c>
      <c r="E332" s="39"/>
      <c r="F332" s="39"/>
    </row>
    <row r="333" spans="1:6" x14ac:dyDescent="0.25">
      <c r="A333" s="25"/>
      <c r="B333" s="38" t="s">
        <v>287</v>
      </c>
      <c r="C333" s="39" t="s">
        <v>150</v>
      </c>
      <c r="D333" s="39" t="s">
        <v>294</v>
      </c>
      <c r="E333" s="39" t="s">
        <v>35</v>
      </c>
      <c r="F333" s="39"/>
    </row>
    <row r="334" spans="1:6" x14ac:dyDescent="0.25">
      <c r="A334" s="25"/>
      <c r="B334" s="38"/>
      <c r="C334" s="39" t="s">
        <v>150</v>
      </c>
      <c r="D334" s="39" t="s">
        <v>293</v>
      </c>
      <c r="E334" s="39"/>
      <c r="F334" s="39"/>
    </row>
    <row r="335" spans="1:6" x14ac:dyDescent="0.25">
      <c r="A335" s="25"/>
      <c r="B335" s="38" t="s">
        <v>288</v>
      </c>
      <c r="C335" s="39" t="s">
        <v>150</v>
      </c>
      <c r="D335" s="39" t="s">
        <v>293</v>
      </c>
      <c r="E335" s="39"/>
      <c r="F335" s="39"/>
    </row>
    <row r="336" spans="1:6" x14ac:dyDescent="0.25">
      <c r="A336" s="25"/>
      <c r="B336" s="38" t="s">
        <v>279</v>
      </c>
      <c r="C336" s="39" t="s">
        <v>150</v>
      </c>
      <c r="D336" s="39">
        <v>46302</v>
      </c>
      <c r="E336" s="39" t="s">
        <v>35</v>
      </c>
      <c r="F336" s="39"/>
    </row>
    <row r="337" spans="1:6" x14ac:dyDescent="0.25">
      <c r="A337" s="25"/>
      <c r="B337" s="38"/>
      <c r="C337" s="39" t="s">
        <v>150</v>
      </c>
      <c r="D337" s="39" t="s">
        <v>293</v>
      </c>
      <c r="E337" s="39"/>
      <c r="F337" s="39"/>
    </row>
    <row r="338" spans="1:6" x14ac:dyDescent="0.25">
      <c r="A338" s="25"/>
      <c r="B338" s="38" t="s">
        <v>289</v>
      </c>
      <c r="C338" s="39" t="s">
        <v>150</v>
      </c>
      <c r="D338" s="39" t="s">
        <v>293</v>
      </c>
      <c r="E338" s="39"/>
      <c r="F338" s="39"/>
    </row>
    <row r="339" spans="1:6" x14ac:dyDescent="0.25">
      <c r="A339" s="25"/>
      <c r="B339" s="38" t="s">
        <v>287</v>
      </c>
      <c r="C339" s="39" t="s">
        <v>150</v>
      </c>
      <c r="D339" s="39" t="s">
        <v>294</v>
      </c>
      <c r="E339" s="39" t="s">
        <v>35</v>
      </c>
      <c r="F339" s="39"/>
    </row>
    <row r="340" spans="1:6" x14ac:dyDescent="0.25">
      <c r="A340" s="25"/>
      <c r="B340" s="38"/>
      <c r="C340" s="39" t="s">
        <v>150</v>
      </c>
      <c r="D340" s="39" t="s">
        <v>293</v>
      </c>
      <c r="E340" s="39"/>
      <c r="F340" s="39"/>
    </row>
    <row r="341" spans="1:6" x14ac:dyDescent="0.25">
      <c r="A341" s="25"/>
      <c r="B341" s="38" t="s">
        <v>290</v>
      </c>
      <c r="C341" s="39" t="s">
        <v>150</v>
      </c>
      <c r="D341" s="39" t="s">
        <v>293</v>
      </c>
      <c r="E341" s="39"/>
      <c r="F341" s="39"/>
    </row>
    <row r="342" spans="1:6" x14ac:dyDescent="0.25">
      <c r="A342" s="25"/>
      <c r="B342" s="38" t="s">
        <v>279</v>
      </c>
      <c r="C342" s="39" t="s">
        <v>150</v>
      </c>
      <c r="D342" s="39" t="s">
        <v>294</v>
      </c>
      <c r="E342" s="39" t="s">
        <v>35</v>
      </c>
      <c r="F342" s="39"/>
    </row>
    <row r="343" spans="1:6" x14ac:dyDescent="0.25">
      <c r="A343" s="25"/>
      <c r="B343" s="38"/>
      <c r="C343" s="39" t="s">
        <v>150</v>
      </c>
      <c r="D343" s="39" t="s">
        <v>293</v>
      </c>
      <c r="E343" s="39"/>
      <c r="F343" s="39"/>
    </row>
    <row r="344" spans="1:6" x14ac:dyDescent="0.25">
      <c r="A344" s="25"/>
      <c r="B344" s="38" t="s">
        <v>291</v>
      </c>
      <c r="C344" s="39" t="s">
        <v>150</v>
      </c>
      <c r="D344" s="39" t="s">
        <v>293</v>
      </c>
      <c r="E344" s="39"/>
      <c r="F344" s="39"/>
    </row>
    <row r="345" spans="1:6" x14ac:dyDescent="0.25">
      <c r="A345" s="25"/>
      <c r="B345" s="38" t="s">
        <v>279</v>
      </c>
      <c r="C345" s="39" t="s">
        <v>150</v>
      </c>
      <c r="D345" s="39" t="s">
        <v>294</v>
      </c>
      <c r="E345" s="39" t="s">
        <v>35</v>
      </c>
      <c r="F345" s="39"/>
    </row>
    <row r="346" spans="1:6" x14ac:dyDescent="0.25">
      <c r="A346" s="25"/>
      <c r="B346" s="38"/>
      <c r="C346" s="39" t="s">
        <v>150</v>
      </c>
      <c r="D346" s="39" t="s">
        <v>293</v>
      </c>
      <c r="E346" s="39"/>
      <c r="F346" s="39"/>
    </row>
    <row r="347" spans="1:6" x14ac:dyDescent="0.25">
      <c r="A347" s="25"/>
      <c r="B347" s="38" t="s">
        <v>292</v>
      </c>
      <c r="C347" s="64" t="s">
        <v>60</v>
      </c>
      <c r="D347" s="39">
        <v>46362</v>
      </c>
      <c r="E347" s="39" t="s">
        <v>35</v>
      </c>
      <c r="F347" s="40" t="s">
        <v>14</v>
      </c>
    </row>
    <row r="348" spans="1:6" x14ac:dyDescent="0.25">
      <c r="A348" s="25"/>
      <c r="B348" s="38" t="s">
        <v>279</v>
      </c>
      <c r="C348" s="64" t="s">
        <v>60</v>
      </c>
      <c r="D348" s="39">
        <v>46362</v>
      </c>
      <c r="E348" s="39" t="s">
        <v>35</v>
      </c>
      <c r="F348" s="39"/>
    </row>
    <row r="349" spans="1:6" x14ac:dyDescent="0.25">
      <c r="A349" s="52"/>
      <c r="B349" s="51"/>
      <c r="C349" s="54"/>
      <c r="D349" s="55"/>
      <c r="E349" s="56"/>
      <c r="F349" s="50"/>
    </row>
    <row r="350" spans="1:6" x14ac:dyDescent="0.25">
      <c r="A350" s="25" t="s">
        <v>296</v>
      </c>
      <c r="B350" s="38" t="s">
        <v>297</v>
      </c>
      <c r="C350" s="68" t="s">
        <v>60</v>
      </c>
      <c r="D350" s="39">
        <v>46178</v>
      </c>
      <c r="E350" s="39" t="s">
        <v>17</v>
      </c>
      <c r="F350" s="39"/>
    </row>
    <row r="351" spans="1:6" x14ac:dyDescent="0.25">
      <c r="A351" s="25"/>
      <c r="B351" s="38" t="s">
        <v>226</v>
      </c>
      <c r="C351" s="39" t="s">
        <v>150</v>
      </c>
      <c r="D351" s="67">
        <v>46088</v>
      </c>
      <c r="E351" s="39" t="s">
        <v>28</v>
      </c>
      <c r="F351" s="39"/>
    </row>
    <row r="352" spans="1:6" x14ac:dyDescent="0.25">
      <c r="A352" s="25"/>
      <c r="B352" s="38" t="s">
        <v>227</v>
      </c>
      <c r="C352" s="39" t="s">
        <v>150</v>
      </c>
      <c r="D352" s="67">
        <v>46088</v>
      </c>
      <c r="E352" s="39" t="s">
        <v>14</v>
      </c>
      <c r="F352" s="39"/>
    </row>
    <row r="353" spans="1:6" x14ac:dyDescent="0.25">
      <c r="A353" s="52"/>
      <c r="B353" s="51"/>
      <c r="C353" s="54"/>
      <c r="D353" s="55"/>
      <c r="E353" s="56"/>
      <c r="F353" s="50"/>
    </row>
    <row r="354" spans="1:6" x14ac:dyDescent="0.25">
      <c r="A354" s="25" t="s">
        <v>298</v>
      </c>
      <c r="B354" s="38" t="s">
        <v>79</v>
      </c>
      <c r="C354" s="64" t="s">
        <v>61</v>
      </c>
      <c r="D354" s="39">
        <v>46271</v>
      </c>
      <c r="E354" s="39" t="s">
        <v>33</v>
      </c>
      <c r="F354" s="39"/>
    </row>
    <row r="355" spans="1:6" x14ac:dyDescent="0.25">
      <c r="A355" s="25"/>
      <c r="B355" s="38" t="s">
        <v>226</v>
      </c>
      <c r="C355" s="39" t="s">
        <v>150</v>
      </c>
      <c r="D355" s="67">
        <v>46088</v>
      </c>
      <c r="E355" s="39"/>
      <c r="F355" s="39"/>
    </row>
    <row r="356" spans="1:6" x14ac:dyDescent="0.25">
      <c r="A356" s="25"/>
      <c r="B356" s="38" t="s">
        <v>299</v>
      </c>
      <c r="C356" s="39" t="s">
        <v>150</v>
      </c>
      <c r="D356" s="67">
        <v>46088</v>
      </c>
      <c r="E356" s="39"/>
      <c r="F356" s="39"/>
    </row>
    <row r="357" spans="1:6" x14ac:dyDescent="0.25">
      <c r="A357" s="52"/>
      <c r="B357" s="51"/>
      <c r="C357" s="54"/>
      <c r="D357" s="55"/>
      <c r="E357" s="56"/>
      <c r="F357" s="50"/>
    </row>
    <row r="358" spans="1:6" x14ac:dyDescent="0.25">
      <c r="A358" s="25" t="s">
        <v>314</v>
      </c>
      <c r="B358" s="38" t="s">
        <v>315</v>
      </c>
      <c r="C358" s="64" t="s">
        <v>60</v>
      </c>
      <c r="D358" s="39" t="s">
        <v>322</v>
      </c>
      <c r="E358" s="39" t="s">
        <v>33</v>
      </c>
      <c r="F358" s="39"/>
    </row>
    <row r="359" spans="1:6" x14ac:dyDescent="0.25">
      <c r="A359" s="25"/>
      <c r="B359" s="38" t="s">
        <v>51</v>
      </c>
      <c r="C359" s="64" t="s">
        <v>60</v>
      </c>
      <c r="D359" s="39" t="s">
        <v>322</v>
      </c>
      <c r="E359" s="39" t="s">
        <v>31</v>
      </c>
      <c r="F359" s="39"/>
    </row>
    <row r="360" spans="1:6" x14ac:dyDescent="0.25">
      <c r="A360" s="25"/>
      <c r="B360" s="38" t="s">
        <v>226</v>
      </c>
      <c r="C360" s="39" t="s">
        <v>150</v>
      </c>
      <c r="D360" s="67">
        <v>46302</v>
      </c>
      <c r="E360" s="39" t="s">
        <v>28</v>
      </c>
      <c r="F360" s="39"/>
    </row>
    <row r="361" spans="1:6" x14ac:dyDescent="0.25">
      <c r="A361" s="25"/>
      <c r="B361" s="38" t="s">
        <v>227</v>
      </c>
      <c r="C361" s="39" t="s">
        <v>150</v>
      </c>
      <c r="D361" s="67">
        <v>46302</v>
      </c>
      <c r="E361" s="39"/>
      <c r="F361" s="39"/>
    </row>
    <row r="362" spans="1:6" x14ac:dyDescent="0.25">
      <c r="A362" s="52"/>
      <c r="B362" s="51"/>
      <c r="C362" s="54"/>
      <c r="D362" s="55"/>
      <c r="E362" s="56"/>
      <c r="F362" s="50"/>
    </row>
    <row r="363" spans="1:6" x14ac:dyDescent="0.25">
      <c r="A363" s="25" t="s">
        <v>319</v>
      </c>
      <c r="B363" s="38" t="s">
        <v>122</v>
      </c>
      <c r="C363" s="64" t="s">
        <v>60</v>
      </c>
      <c r="D363" s="39">
        <v>46332</v>
      </c>
      <c r="E363" s="39" t="s">
        <v>17</v>
      </c>
      <c r="F363" s="39"/>
    </row>
    <row r="364" spans="1:6" x14ac:dyDescent="0.25">
      <c r="A364" s="25"/>
      <c r="B364" s="38" t="s">
        <v>320</v>
      </c>
      <c r="C364" s="64" t="s">
        <v>60</v>
      </c>
      <c r="D364" s="39" t="s">
        <v>317</v>
      </c>
      <c r="E364" s="58" t="s">
        <v>16</v>
      </c>
      <c r="F364" s="39" t="s">
        <v>14</v>
      </c>
    </row>
    <row r="365" spans="1:6" x14ac:dyDescent="0.25">
      <c r="A365" s="52"/>
      <c r="B365" s="51"/>
      <c r="C365" s="54"/>
      <c r="D365" s="55"/>
      <c r="E365" s="56"/>
      <c r="F365" s="50"/>
    </row>
    <row r="366" spans="1:6" x14ac:dyDescent="0.25">
      <c r="A366" s="25" t="s">
        <v>321</v>
      </c>
      <c r="B366" s="38" t="s">
        <v>297</v>
      </c>
      <c r="C366" s="64" t="s">
        <v>60</v>
      </c>
      <c r="D366" s="39">
        <v>46189</v>
      </c>
      <c r="E366" s="39" t="s">
        <v>35</v>
      </c>
      <c r="F366" s="39" t="s">
        <v>14</v>
      </c>
    </row>
    <row r="367" spans="1:6" x14ac:dyDescent="0.25">
      <c r="A367" s="25"/>
      <c r="B367" s="38" t="s">
        <v>226</v>
      </c>
      <c r="C367" s="64" t="s">
        <v>60</v>
      </c>
      <c r="D367" s="63">
        <v>46193</v>
      </c>
      <c r="E367" s="39" t="s">
        <v>35</v>
      </c>
      <c r="F367" s="39" t="s">
        <v>396</v>
      </c>
    </row>
    <row r="368" spans="1:6" x14ac:dyDescent="0.25">
      <c r="A368" s="25"/>
      <c r="B368" s="38" t="s">
        <v>227</v>
      </c>
      <c r="C368" s="64" t="s">
        <v>60</v>
      </c>
      <c r="D368" s="63">
        <v>46199</v>
      </c>
      <c r="E368" s="39" t="s">
        <v>35</v>
      </c>
      <c r="F368" s="39" t="s">
        <v>396</v>
      </c>
    </row>
    <row r="369" spans="1:6" x14ac:dyDescent="0.25">
      <c r="A369" s="52"/>
      <c r="B369" s="51"/>
      <c r="C369" s="54"/>
      <c r="D369" s="55"/>
      <c r="E369" s="56"/>
      <c r="F369" s="50"/>
    </row>
    <row r="370" spans="1:6" x14ac:dyDescent="0.25">
      <c r="A370" s="25" t="s">
        <v>377</v>
      </c>
      <c r="B370" s="38" t="s">
        <v>378</v>
      </c>
      <c r="C370" s="64" t="s">
        <v>61</v>
      </c>
      <c r="D370" s="67">
        <v>46088</v>
      </c>
      <c r="E370" s="39"/>
      <c r="F370" s="39"/>
    </row>
    <row r="371" spans="1:6" x14ac:dyDescent="0.25">
      <c r="A371" s="25"/>
      <c r="B371" s="38" t="s">
        <v>379</v>
      </c>
      <c r="C371" s="39" t="s">
        <v>150</v>
      </c>
      <c r="D371" s="67">
        <v>46088</v>
      </c>
      <c r="E371" s="39"/>
      <c r="F371" s="39"/>
    </row>
    <row r="372" spans="1:6" x14ac:dyDescent="0.25">
      <c r="A372" s="25"/>
      <c r="B372" s="38" t="s">
        <v>380</v>
      </c>
      <c r="C372" s="39" t="s">
        <v>150</v>
      </c>
      <c r="D372" s="67">
        <v>46088</v>
      </c>
      <c r="E372" s="39"/>
      <c r="F372" s="39"/>
    </row>
    <row r="373" spans="1:6" x14ac:dyDescent="0.25">
      <c r="A373" s="52"/>
      <c r="B373" s="51"/>
      <c r="C373" s="54"/>
      <c r="D373" s="55"/>
      <c r="E373" s="56"/>
      <c r="F373" s="50"/>
    </row>
    <row r="374" spans="1:6" x14ac:dyDescent="0.25">
      <c r="A374" s="25" t="s">
        <v>385</v>
      </c>
      <c r="B374" s="38" t="s">
        <v>122</v>
      </c>
      <c r="C374" s="64" t="s">
        <v>60</v>
      </c>
      <c r="D374" s="67" t="s">
        <v>230</v>
      </c>
      <c r="E374" s="39"/>
      <c r="F374" s="39"/>
    </row>
    <row r="375" spans="1:6" x14ac:dyDescent="0.25">
      <c r="A375" s="25"/>
      <c r="B375" s="38" t="s">
        <v>226</v>
      </c>
      <c r="C375" s="64" t="s">
        <v>61</v>
      </c>
      <c r="D375" s="67">
        <v>46088</v>
      </c>
      <c r="E375" s="39"/>
      <c r="F375" s="39"/>
    </row>
    <row r="376" spans="1:6" x14ac:dyDescent="0.25">
      <c r="A376" s="25"/>
      <c r="B376" s="38" t="s">
        <v>386</v>
      </c>
      <c r="C376" s="64" t="s">
        <v>61</v>
      </c>
      <c r="D376" s="67">
        <v>46088</v>
      </c>
      <c r="E376" s="39"/>
      <c r="F376" s="39"/>
    </row>
    <row r="377" spans="1:6" x14ac:dyDescent="0.25">
      <c r="A377" s="25"/>
      <c r="B377" s="38" t="s">
        <v>227</v>
      </c>
      <c r="C377" s="64" t="s">
        <v>61</v>
      </c>
      <c r="D377" s="67">
        <v>46088</v>
      </c>
      <c r="E377" s="39"/>
      <c r="F377" s="39"/>
    </row>
    <row r="378" spans="1:6" x14ac:dyDescent="0.25">
      <c r="A378" s="52"/>
      <c r="B378" s="51"/>
      <c r="C378" s="54"/>
      <c r="D378" s="55"/>
      <c r="E378" s="56"/>
      <c r="F378" s="50"/>
    </row>
    <row r="379" spans="1:6" x14ac:dyDescent="0.25">
      <c r="A379" s="25" t="s">
        <v>388</v>
      </c>
      <c r="B379" s="38" t="s">
        <v>122</v>
      </c>
      <c r="C379" s="64" t="s">
        <v>60</v>
      </c>
      <c r="D379" s="67" t="s">
        <v>230</v>
      </c>
      <c r="E379" s="39"/>
      <c r="F379" s="39"/>
    </row>
    <row r="380" spans="1:6" x14ac:dyDescent="0.25">
      <c r="A380" s="25"/>
      <c r="B380" s="38" t="s">
        <v>226</v>
      </c>
      <c r="C380" s="64" t="s">
        <v>60</v>
      </c>
      <c r="D380" s="67" t="s">
        <v>230</v>
      </c>
      <c r="E380" s="39"/>
      <c r="F380" s="39"/>
    </row>
    <row r="381" spans="1:6" x14ac:dyDescent="0.25">
      <c r="A381" s="52"/>
      <c r="B381" s="51"/>
      <c r="C381" s="54"/>
      <c r="D381" s="55"/>
      <c r="E381" s="56"/>
      <c r="F381" s="50"/>
    </row>
    <row r="382" spans="1:6" x14ac:dyDescent="0.25">
      <c r="A382" s="25" t="s">
        <v>389</v>
      </c>
      <c r="B382" s="38" t="s">
        <v>122</v>
      </c>
      <c r="C382" s="64" t="s">
        <v>60</v>
      </c>
      <c r="D382" s="63" t="s">
        <v>230</v>
      </c>
      <c r="E382" s="39"/>
      <c r="F382" s="39"/>
    </row>
    <row r="383" spans="1:6" x14ac:dyDescent="0.25">
      <c r="A383" s="25"/>
      <c r="B383" s="38" t="s">
        <v>226</v>
      </c>
      <c r="C383" s="64" t="s">
        <v>60</v>
      </c>
      <c r="D383" s="63" t="s">
        <v>230</v>
      </c>
      <c r="E383" s="39"/>
      <c r="F383" s="39"/>
    </row>
    <row r="384" spans="1:6" x14ac:dyDescent="0.25">
      <c r="A384" s="52"/>
      <c r="B384" s="51"/>
      <c r="C384" s="54"/>
      <c r="D384" s="55"/>
      <c r="E384" s="56"/>
      <c r="F384" s="50"/>
    </row>
    <row r="385" spans="1:15" x14ac:dyDescent="0.25">
      <c r="A385" s="25" t="s">
        <v>390</v>
      </c>
      <c r="B385" s="38" t="s">
        <v>122</v>
      </c>
      <c r="C385" s="64" t="s">
        <v>60</v>
      </c>
      <c r="D385" s="63" t="s">
        <v>323</v>
      </c>
      <c r="E385" s="39"/>
      <c r="F385" s="39"/>
    </row>
    <row r="386" spans="1:15" x14ac:dyDescent="0.25">
      <c r="A386" s="25"/>
      <c r="B386" s="38" t="s">
        <v>226</v>
      </c>
      <c r="C386" s="64" t="s">
        <v>60</v>
      </c>
      <c r="D386" s="63" t="s">
        <v>323</v>
      </c>
      <c r="E386" s="39"/>
      <c r="F386" s="39"/>
    </row>
    <row r="387" spans="1:15" x14ac:dyDescent="0.25">
      <c r="A387" s="52"/>
      <c r="B387" s="51"/>
      <c r="C387" s="54"/>
      <c r="D387" s="55"/>
      <c r="E387" s="56"/>
      <c r="F387" s="50"/>
    </row>
    <row r="388" spans="1:15" x14ac:dyDescent="0.25">
      <c r="A388" s="25" t="s">
        <v>398</v>
      </c>
      <c r="B388" s="38" t="s">
        <v>122</v>
      </c>
      <c r="C388" s="39" t="s">
        <v>150</v>
      </c>
      <c r="D388" s="39" t="s">
        <v>293</v>
      </c>
      <c r="E388" s="39"/>
      <c r="F388" s="39"/>
    </row>
    <row r="389" spans="1:15" x14ac:dyDescent="0.25">
      <c r="A389" s="25"/>
      <c r="B389" s="38" t="s">
        <v>226</v>
      </c>
      <c r="C389" s="39" t="s">
        <v>150</v>
      </c>
      <c r="D389" s="39" t="s">
        <v>293</v>
      </c>
      <c r="E389" s="39"/>
      <c r="F389" s="39"/>
    </row>
    <row r="390" spans="1:15" x14ac:dyDescent="0.25">
      <c r="A390" s="25"/>
      <c r="B390" s="38" t="s">
        <v>227</v>
      </c>
      <c r="C390" s="39" t="s">
        <v>150</v>
      </c>
      <c r="D390" s="39" t="s">
        <v>293</v>
      </c>
      <c r="E390" s="39"/>
      <c r="F390" s="39"/>
    </row>
    <row r="391" spans="1:15" x14ac:dyDescent="0.25">
      <c r="A391" s="52"/>
      <c r="B391" s="51"/>
      <c r="C391" s="54"/>
      <c r="D391" s="55"/>
      <c r="E391" s="56"/>
      <c r="F391" s="50"/>
    </row>
    <row r="392" spans="1:15" x14ac:dyDescent="0.25">
      <c r="A392" s="25" t="s">
        <v>399</v>
      </c>
      <c r="B392" s="38" t="s">
        <v>122</v>
      </c>
      <c r="C392" s="39" t="s">
        <v>150</v>
      </c>
      <c r="D392" s="39" t="s">
        <v>293</v>
      </c>
      <c r="E392" s="39"/>
      <c r="F392" s="39"/>
    </row>
    <row r="393" spans="1:15" x14ac:dyDescent="0.25">
      <c r="A393" s="25"/>
      <c r="B393" s="38" t="s">
        <v>226</v>
      </c>
      <c r="C393" s="39" t="s">
        <v>150</v>
      </c>
      <c r="D393" s="39" t="s">
        <v>293</v>
      </c>
      <c r="E393" s="39"/>
      <c r="F393" s="39"/>
    </row>
    <row r="394" spans="1:15" x14ac:dyDescent="0.25">
      <c r="A394" s="25"/>
      <c r="B394" s="38" t="s">
        <v>227</v>
      </c>
      <c r="C394" s="39" t="s">
        <v>150</v>
      </c>
      <c r="D394" s="39" t="s">
        <v>293</v>
      </c>
      <c r="E394" s="39"/>
      <c r="F394" s="39"/>
    </row>
    <row r="395" spans="1:15" x14ac:dyDescent="0.25">
      <c r="A395" s="52"/>
      <c r="B395" s="51"/>
      <c r="C395" s="54"/>
      <c r="D395" s="55"/>
      <c r="E395" s="56"/>
      <c r="F395" s="50"/>
    </row>
    <row r="396" spans="1:15" x14ac:dyDescent="0.25">
      <c r="A396"/>
      <c r="B396"/>
      <c r="C396"/>
      <c r="D396"/>
      <c r="E396"/>
      <c r="F396"/>
      <c r="G396"/>
      <c r="H396"/>
      <c r="I396"/>
      <c r="J396"/>
      <c r="K396"/>
      <c r="L396"/>
      <c r="M396"/>
      <c r="N396"/>
      <c r="O396"/>
    </row>
    <row r="397" spans="1:15" x14ac:dyDescent="0.25">
      <c r="A397"/>
      <c r="B397"/>
      <c r="C397"/>
      <c r="D397"/>
      <c r="E397"/>
      <c r="F397"/>
      <c r="G397"/>
      <c r="H397"/>
      <c r="I397"/>
      <c r="J397"/>
      <c r="K397"/>
      <c r="L397"/>
      <c r="M397"/>
      <c r="N397"/>
      <c r="O397"/>
    </row>
    <row r="398" spans="1:15" x14ac:dyDescent="0.25">
      <c r="A398"/>
      <c r="B398"/>
      <c r="C398"/>
      <c r="D398"/>
      <c r="E398"/>
      <c r="F398"/>
      <c r="G398"/>
      <c r="H398"/>
      <c r="I398"/>
      <c r="J398"/>
      <c r="K398"/>
      <c r="L398"/>
      <c r="M398"/>
      <c r="N398"/>
      <c r="O398"/>
    </row>
    <row r="399" spans="1:15" x14ac:dyDescent="0.25">
      <c r="A399"/>
      <c r="B399"/>
      <c r="C399"/>
      <c r="D399"/>
      <c r="E399"/>
      <c r="F399"/>
      <c r="G399"/>
      <c r="H399"/>
      <c r="I399"/>
      <c r="J399"/>
      <c r="K399"/>
      <c r="L399"/>
      <c r="M399"/>
      <c r="N399"/>
      <c r="O399"/>
    </row>
    <row r="400" spans="1:15" x14ac:dyDescent="0.25">
      <c r="A400"/>
      <c r="B400"/>
      <c r="C400"/>
      <c r="D400"/>
      <c r="E400"/>
      <c r="F400"/>
      <c r="G400"/>
      <c r="H400"/>
      <c r="I400"/>
      <c r="J400"/>
      <c r="K400"/>
      <c r="L400"/>
      <c r="M400"/>
      <c r="N400"/>
      <c r="O400"/>
    </row>
    <row r="401" spans="1:15" x14ac:dyDescent="0.25">
      <c r="A401"/>
      <c r="B401"/>
      <c r="C401"/>
      <c r="D401"/>
      <c r="E401"/>
      <c r="F401"/>
      <c r="G401"/>
      <c r="H401"/>
      <c r="I401"/>
      <c r="J401"/>
      <c r="K401"/>
      <c r="L401"/>
      <c r="M401"/>
      <c r="N401"/>
      <c r="O401"/>
    </row>
    <row r="402" spans="1:15" x14ac:dyDescent="0.25">
      <c r="A402"/>
      <c r="B402"/>
      <c r="C402"/>
      <c r="D402"/>
      <c r="E402"/>
      <c r="F402"/>
      <c r="G402"/>
      <c r="H402"/>
      <c r="I402"/>
      <c r="J402"/>
      <c r="K402"/>
      <c r="L402"/>
      <c r="M402"/>
      <c r="N402"/>
      <c r="O402"/>
    </row>
    <row r="403" spans="1:15" x14ac:dyDescent="0.25">
      <c r="A403"/>
      <c r="B403"/>
      <c r="C403"/>
      <c r="D403"/>
      <c r="E403"/>
      <c r="F403"/>
      <c r="G403"/>
      <c r="H403"/>
      <c r="I403"/>
      <c r="J403"/>
      <c r="K403"/>
      <c r="L403"/>
      <c r="M403"/>
      <c r="N403"/>
      <c r="O403"/>
    </row>
    <row r="404" spans="1:15" x14ac:dyDescent="0.25">
      <c r="A404"/>
      <c r="B404"/>
      <c r="C404"/>
      <c r="D404"/>
      <c r="E404"/>
      <c r="F404"/>
      <c r="G404"/>
      <c r="H404"/>
      <c r="I404"/>
      <c r="J404"/>
      <c r="K404"/>
      <c r="L404"/>
      <c r="M404"/>
      <c r="N404"/>
      <c r="O404"/>
    </row>
    <row r="405" spans="1:15" x14ac:dyDescent="0.25">
      <c r="A405"/>
      <c r="B405"/>
      <c r="C405"/>
      <c r="D405"/>
      <c r="E405"/>
      <c r="F405"/>
      <c r="G405"/>
      <c r="H405"/>
      <c r="I405"/>
      <c r="J405"/>
      <c r="K405"/>
      <c r="L405"/>
      <c r="M405"/>
      <c r="N405"/>
      <c r="O405"/>
    </row>
    <row r="406" spans="1:15" x14ac:dyDescent="0.25">
      <c r="A406"/>
      <c r="B406"/>
      <c r="C406"/>
      <c r="D406"/>
      <c r="E406"/>
      <c r="F406"/>
      <c r="G406"/>
      <c r="H406"/>
      <c r="I406"/>
      <c r="J406"/>
      <c r="K406"/>
      <c r="L406"/>
      <c r="M406"/>
      <c r="N406"/>
      <c r="O406"/>
    </row>
    <row r="407" spans="1:15" x14ac:dyDescent="0.25">
      <c r="A407"/>
      <c r="B407"/>
      <c r="C407"/>
      <c r="D407"/>
      <c r="E407"/>
      <c r="F407"/>
      <c r="G407"/>
      <c r="H407"/>
      <c r="I407"/>
      <c r="J407"/>
      <c r="K407"/>
      <c r="L407"/>
      <c r="M407"/>
      <c r="N407"/>
      <c r="O407"/>
    </row>
    <row r="408" spans="1:15" x14ac:dyDescent="0.25">
      <c r="A408"/>
      <c r="B408"/>
      <c r="C408"/>
      <c r="D408"/>
      <c r="E408"/>
      <c r="F408"/>
      <c r="G408"/>
      <c r="H408"/>
      <c r="I408"/>
      <c r="J408"/>
      <c r="K408"/>
      <c r="L408"/>
      <c r="M408"/>
      <c r="N408"/>
      <c r="O408"/>
    </row>
    <row r="409" spans="1:15" x14ac:dyDescent="0.25">
      <c r="A409"/>
      <c r="B409"/>
      <c r="C409"/>
      <c r="D409"/>
      <c r="E409"/>
      <c r="F409"/>
      <c r="G409"/>
      <c r="H409"/>
      <c r="I409"/>
      <c r="J409"/>
      <c r="K409"/>
      <c r="L409"/>
      <c r="M409"/>
      <c r="N409"/>
      <c r="O409"/>
    </row>
    <row r="410" spans="1:15" x14ac:dyDescent="0.25">
      <c r="A410"/>
      <c r="B410"/>
      <c r="C410"/>
      <c r="D410"/>
      <c r="E410"/>
      <c r="F410"/>
      <c r="G410"/>
      <c r="H410"/>
      <c r="I410"/>
      <c r="J410"/>
      <c r="K410"/>
      <c r="L410"/>
      <c r="M410"/>
      <c r="N410"/>
      <c r="O410"/>
    </row>
    <row r="411" spans="1:15" x14ac:dyDescent="0.25">
      <c r="A411"/>
      <c r="B411"/>
      <c r="C411"/>
      <c r="D411"/>
      <c r="E411"/>
      <c r="F411"/>
      <c r="G411"/>
      <c r="H411"/>
      <c r="I411"/>
      <c r="J411"/>
      <c r="K411"/>
      <c r="L411"/>
      <c r="M411"/>
      <c r="N411"/>
      <c r="O411"/>
    </row>
    <row r="412" spans="1:15" x14ac:dyDescent="0.25">
      <c r="A412"/>
      <c r="B412"/>
      <c r="C412"/>
      <c r="D412"/>
      <c r="E412"/>
      <c r="F412"/>
      <c r="G412"/>
      <c r="H412"/>
      <c r="I412"/>
      <c r="J412"/>
      <c r="K412"/>
      <c r="L412"/>
      <c r="M412"/>
      <c r="N412"/>
      <c r="O412"/>
    </row>
    <row r="413" spans="1:15" x14ac:dyDescent="0.25">
      <c r="A413"/>
      <c r="B413"/>
      <c r="C413"/>
      <c r="D413"/>
      <c r="E413"/>
      <c r="F413"/>
      <c r="G413"/>
      <c r="H413"/>
      <c r="I413"/>
      <c r="J413"/>
      <c r="K413"/>
      <c r="L413"/>
      <c r="M413"/>
      <c r="N413"/>
      <c r="O413"/>
    </row>
    <row r="414" spans="1:15" x14ac:dyDescent="0.25">
      <c r="A414"/>
      <c r="B414"/>
      <c r="C414"/>
      <c r="D414"/>
      <c r="E414"/>
      <c r="F414"/>
      <c r="G414"/>
      <c r="H414"/>
      <c r="I414"/>
      <c r="J414"/>
      <c r="K414"/>
      <c r="L414"/>
      <c r="M414"/>
      <c r="N414"/>
      <c r="O414"/>
    </row>
    <row r="415" spans="1:15" x14ac:dyDescent="0.25">
      <c r="A415"/>
      <c r="B415"/>
      <c r="C415"/>
      <c r="D415"/>
      <c r="E415"/>
      <c r="F415"/>
      <c r="G415"/>
      <c r="H415"/>
      <c r="I415"/>
      <c r="J415"/>
      <c r="K415"/>
      <c r="L415"/>
      <c r="M415"/>
      <c r="N415"/>
      <c r="O415"/>
    </row>
    <row r="416" spans="1:15" x14ac:dyDescent="0.25">
      <c r="A416"/>
      <c r="B416"/>
      <c r="C416"/>
      <c r="D416"/>
      <c r="E416"/>
      <c r="F416"/>
      <c r="G416"/>
      <c r="H416"/>
      <c r="I416"/>
      <c r="J416"/>
      <c r="K416"/>
      <c r="L416"/>
      <c r="M416"/>
      <c r="N416"/>
      <c r="O416"/>
    </row>
    <row r="417" spans="1:15" x14ac:dyDescent="0.25">
      <c r="A417"/>
      <c r="B417"/>
      <c r="C417"/>
      <c r="D417"/>
      <c r="E417"/>
      <c r="F417"/>
      <c r="G417"/>
      <c r="H417"/>
      <c r="I417"/>
      <c r="J417"/>
      <c r="K417"/>
      <c r="L417"/>
      <c r="M417"/>
      <c r="N417"/>
      <c r="O417"/>
    </row>
    <row r="418" spans="1:15" x14ac:dyDescent="0.25">
      <c r="A418"/>
      <c r="B418"/>
      <c r="C418"/>
      <c r="D418"/>
      <c r="E418"/>
      <c r="F418"/>
      <c r="G418"/>
      <c r="H418"/>
      <c r="I418"/>
      <c r="J418"/>
      <c r="K418"/>
      <c r="L418"/>
      <c r="M418"/>
      <c r="N418"/>
      <c r="O418"/>
    </row>
    <row r="419" spans="1:15" x14ac:dyDescent="0.25">
      <c r="A419"/>
      <c r="B419"/>
      <c r="C419"/>
      <c r="D419"/>
      <c r="E419"/>
      <c r="F419"/>
      <c r="G419"/>
      <c r="H419"/>
      <c r="I419"/>
      <c r="J419"/>
      <c r="K419"/>
      <c r="L419"/>
      <c r="M419"/>
      <c r="N419"/>
      <c r="O419"/>
    </row>
    <row r="420" spans="1:15" x14ac:dyDescent="0.25">
      <c r="A420"/>
      <c r="B420"/>
      <c r="C420"/>
      <c r="D420"/>
      <c r="E420"/>
      <c r="F420"/>
      <c r="G420"/>
      <c r="H420"/>
      <c r="I420"/>
      <c r="J420"/>
      <c r="K420"/>
      <c r="L420"/>
      <c r="M420"/>
      <c r="N420"/>
      <c r="O420"/>
    </row>
    <row r="421" spans="1:15" x14ac:dyDescent="0.25">
      <c r="A421"/>
      <c r="B421"/>
      <c r="C421"/>
      <c r="D421"/>
      <c r="E421"/>
      <c r="F421"/>
      <c r="G421"/>
      <c r="H421"/>
      <c r="I421"/>
      <c r="J421"/>
      <c r="K421"/>
      <c r="L421"/>
      <c r="M421"/>
      <c r="N421"/>
      <c r="O421"/>
    </row>
    <row r="422" spans="1:15" x14ac:dyDescent="0.25">
      <c r="A422"/>
      <c r="B422"/>
      <c r="C422"/>
      <c r="D422"/>
      <c r="E422"/>
      <c r="F422"/>
      <c r="G422"/>
      <c r="H422"/>
      <c r="I422"/>
      <c r="J422"/>
      <c r="K422"/>
      <c r="L422"/>
      <c r="M422"/>
      <c r="N422"/>
      <c r="O422"/>
    </row>
    <row r="423" spans="1:15" x14ac:dyDescent="0.25">
      <c r="A423"/>
      <c r="B423"/>
      <c r="C423"/>
      <c r="D423"/>
      <c r="E423"/>
      <c r="F423"/>
      <c r="G423"/>
      <c r="H423"/>
      <c r="I423"/>
      <c r="J423"/>
      <c r="K423"/>
      <c r="L423"/>
      <c r="M423"/>
      <c r="N423"/>
      <c r="O423"/>
    </row>
    <row r="424" spans="1:15" x14ac:dyDescent="0.25">
      <c r="A424"/>
      <c r="B424"/>
      <c r="C424"/>
      <c r="D424"/>
      <c r="E424"/>
      <c r="F424"/>
      <c r="G424"/>
      <c r="H424"/>
      <c r="I424"/>
      <c r="J424"/>
      <c r="K424"/>
      <c r="L424"/>
      <c r="M424"/>
      <c r="N424"/>
      <c r="O424"/>
    </row>
    <row r="425" spans="1:15" x14ac:dyDescent="0.25">
      <c r="A425"/>
      <c r="B425"/>
      <c r="C425"/>
      <c r="D425"/>
      <c r="E425"/>
      <c r="F425"/>
      <c r="G425"/>
      <c r="H425"/>
      <c r="I425"/>
      <c r="J425"/>
      <c r="K425"/>
      <c r="L425"/>
      <c r="M425"/>
      <c r="N425"/>
      <c r="O425"/>
    </row>
    <row r="426" spans="1:15" x14ac:dyDescent="0.25">
      <c r="A426"/>
      <c r="B426"/>
      <c r="C426"/>
      <c r="D426"/>
      <c r="E426"/>
      <c r="F426"/>
      <c r="G426"/>
      <c r="H426"/>
      <c r="I426"/>
      <c r="J426"/>
      <c r="K426"/>
      <c r="L426"/>
      <c r="M426"/>
      <c r="N426"/>
      <c r="O426"/>
    </row>
    <row r="427" spans="1:15" x14ac:dyDescent="0.25">
      <c r="A427"/>
      <c r="B427"/>
      <c r="C427"/>
      <c r="D427"/>
      <c r="E427"/>
      <c r="F427"/>
      <c r="G427"/>
      <c r="H427"/>
      <c r="I427"/>
      <c r="J427"/>
      <c r="K427"/>
      <c r="L427"/>
      <c r="M427"/>
      <c r="N427"/>
      <c r="O427"/>
    </row>
    <row r="428" spans="1:15" x14ac:dyDescent="0.25">
      <c r="A428"/>
      <c r="B428"/>
      <c r="C428"/>
      <c r="D428"/>
      <c r="E428"/>
      <c r="F428"/>
      <c r="G428"/>
      <c r="H428"/>
      <c r="I428"/>
      <c r="J428"/>
      <c r="K428"/>
      <c r="L428"/>
      <c r="M428"/>
      <c r="N428"/>
      <c r="O428"/>
    </row>
    <row r="429" spans="1:15" x14ac:dyDescent="0.25">
      <c r="A429"/>
      <c r="B429"/>
      <c r="C429"/>
      <c r="D429"/>
      <c r="E429"/>
      <c r="F429"/>
      <c r="G429"/>
      <c r="H429"/>
      <c r="I429"/>
      <c r="J429"/>
      <c r="K429"/>
      <c r="L429"/>
      <c r="M429"/>
      <c r="N429"/>
      <c r="O429"/>
    </row>
    <row r="430" spans="1:15" x14ac:dyDescent="0.25">
      <c r="A430"/>
      <c r="B430"/>
      <c r="C430"/>
      <c r="D430"/>
      <c r="E430"/>
      <c r="F430"/>
      <c r="G430"/>
      <c r="H430"/>
      <c r="I430"/>
      <c r="J430"/>
      <c r="K430"/>
      <c r="L430"/>
      <c r="M430"/>
      <c r="N430"/>
      <c r="O430"/>
    </row>
    <row r="431" spans="1:15" x14ac:dyDescent="0.25">
      <c r="A431"/>
      <c r="B431"/>
      <c r="C431"/>
      <c r="D431"/>
      <c r="E431"/>
      <c r="F431"/>
      <c r="G431"/>
      <c r="H431"/>
      <c r="I431"/>
      <c r="J431"/>
      <c r="K431"/>
      <c r="L431"/>
      <c r="M431"/>
      <c r="N431"/>
      <c r="O431"/>
    </row>
    <row r="432" spans="1:15" x14ac:dyDescent="0.25">
      <c r="A432"/>
      <c r="B432"/>
      <c r="C432"/>
      <c r="D432"/>
      <c r="E432"/>
      <c r="F432"/>
      <c r="G432"/>
      <c r="H432"/>
      <c r="I432"/>
      <c r="J432"/>
      <c r="K432"/>
      <c r="L432"/>
      <c r="M432"/>
      <c r="N432"/>
      <c r="O432"/>
    </row>
    <row r="433" spans="1:15" x14ac:dyDescent="0.25">
      <c r="A433"/>
      <c r="B433"/>
      <c r="C433"/>
      <c r="D433"/>
      <c r="E433"/>
      <c r="F433"/>
      <c r="G433"/>
      <c r="H433"/>
      <c r="I433"/>
      <c r="J433"/>
      <c r="K433"/>
      <c r="L433"/>
      <c r="M433"/>
      <c r="N433"/>
      <c r="O433"/>
    </row>
    <row r="434" spans="1:15" x14ac:dyDescent="0.25">
      <c r="A434"/>
      <c r="B434"/>
      <c r="C434"/>
      <c r="D434"/>
      <c r="E434"/>
      <c r="F434"/>
      <c r="G434"/>
      <c r="H434"/>
      <c r="I434"/>
      <c r="J434"/>
      <c r="K434"/>
      <c r="L434"/>
      <c r="M434"/>
      <c r="N434"/>
      <c r="O434"/>
    </row>
    <row r="435" spans="1:15" x14ac:dyDescent="0.25">
      <c r="A435"/>
      <c r="B435"/>
      <c r="C435"/>
      <c r="D435"/>
      <c r="E435"/>
      <c r="F435"/>
      <c r="G435"/>
      <c r="H435"/>
      <c r="I435"/>
      <c r="J435"/>
      <c r="K435"/>
      <c r="L435"/>
      <c r="M435"/>
      <c r="N435"/>
      <c r="O435"/>
    </row>
    <row r="436" spans="1:15" x14ac:dyDescent="0.25">
      <c r="A436"/>
      <c r="B436"/>
      <c r="C436"/>
      <c r="D436"/>
      <c r="E436"/>
      <c r="F436"/>
      <c r="G436"/>
      <c r="H436"/>
      <c r="I436"/>
      <c r="J436"/>
      <c r="K436"/>
      <c r="L436"/>
      <c r="M436"/>
      <c r="N436"/>
      <c r="O436"/>
    </row>
    <row r="437" spans="1:15" x14ac:dyDescent="0.25">
      <c r="A437"/>
      <c r="B437"/>
      <c r="C437"/>
      <c r="D437"/>
      <c r="E437"/>
      <c r="F437"/>
      <c r="G437"/>
      <c r="H437"/>
      <c r="I437"/>
      <c r="J437"/>
      <c r="K437"/>
      <c r="L437"/>
      <c r="M437"/>
      <c r="N437"/>
      <c r="O437"/>
    </row>
    <row r="438" spans="1:15" x14ac:dyDescent="0.25">
      <c r="A438"/>
      <c r="B438"/>
      <c r="C438"/>
      <c r="D438"/>
      <c r="E438"/>
      <c r="F438"/>
      <c r="G438"/>
      <c r="H438"/>
      <c r="I438"/>
      <c r="J438"/>
      <c r="K438"/>
      <c r="L438"/>
      <c r="M438"/>
      <c r="N438"/>
      <c r="O438"/>
    </row>
    <row r="439" spans="1:15" x14ac:dyDescent="0.25">
      <c r="A439"/>
      <c r="B439"/>
      <c r="C439"/>
      <c r="D439"/>
      <c r="E439"/>
      <c r="F439"/>
      <c r="G439"/>
      <c r="H439"/>
      <c r="I439"/>
      <c r="J439"/>
      <c r="K439"/>
      <c r="L439"/>
      <c r="M439"/>
      <c r="N439"/>
      <c r="O439"/>
    </row>
    <row r="440" spans="1:15" x14ac:dyDescent="0.25">
      <c r="A440"/>
      <c r="B440"/>
      <c r="C440"/>
      <c r="D440"/>
      <c r="E440"/>
      <c r="F440"/>
      <c r="G440"/>
      <c r="H440"/>
      <c r="I440"/>
      <c r="J440"/>
      <c r="K440"/>
      <c r="L440"/>
      <c r="M440"/>
      <c r="N440"/>
      <c r="O440"/>
    </row>
    <row r="441" spans="1:15" x14ac:dyDescent="0.25">
      <c r="A441"/>
      <c r="B441"/>
      <c r="C441"/>
      <c r="D441"/>
      <c r="E441"/>
      <c r="F441"/>
      <c r="G441"/>
      <c r="H441"/>
      <c r="I441"/>
      <c r="J441"/>
      <c r="K441"/>
      <c r="L441"/>
      <c r="M441"/>
      <c r="N441"/>
      <c r="O441"/>
    </row>
    <row r="442" spans="1:15" x14ac:dyDescent="0.25">
      <c r="A442"/>
      <c r="B442"/>
      <c r="C442"/>
      <c r="D442"/>
      <c r="E442"/>
      <c r="F442"/>
      <c r="G442"/>
      <c r="H442"/>
      <c r="I442"/>
      <c r="J442"/>
      <c r="K442"/>
      <c r="L442"/>
      <c r="M442"/>
      <c r="N442"/>
      <c r="O442"/>
    </row>
    <row r="443" spans="1:15" x14ac:dyDescent="0.25">
      <c r="A443"/>
      <c r="B443"/>
      <c r="C443"/>
      <c r="D443"/>
      <c r="E443"/>
      <c r="F443"/>
      <c r="G443"/>
      <c r="H443"/>
      <c r="I443"/>
      <c r="J443"/>
      <c r="K443"/>
      <c r="L443"/>
      <c r="M443"/>
      <c r="N443"/>
      <c r="O443"/>
    </row>
    <row r="444" spans="1:15" x14ac:dyDescent="0.25">
      <c r="A444"/>
      <c r="B444"/>
      <c r="C444"/>
      <c r="D444"/>
      <c r="E444"/>
      <c r="F444"/>
      <c r="G444"/>
      <c r="H444"/>
      <c r="I444"/>
      <c r="J444"/>
      <c r="K444"/>
      <c r="L444"/>
      <c r="M444"/>
      <c r="N444"/>
      <c r="O444"/>
    </row>
    <row r="445" spans="1:15" x14ac:dyDescent="0.25">
      <c r="A445"/>
      <c r="B445"/>
      <c r="C445"/>
      <c r="D445"/>
      <c r="E445"/>
      <c r="F445"/>
      <c r="G445"/>
      <c r="H445"/>
      <c r="I445"/>
      <c r="J445"/>
      <c r="K445"/>
      <c r="L445"/>
      <c r="M445"/>
      <c r="N445"/>
      <c r="O445"/>
    </row>
    <row r="446" spans="1:15" x14ac:dyDescent="0.25">
      <c r="A446"/>
      <c r="B446"/>
      <c r="C446"/>
      <c r="D446"/>
      <c r="E446"/>
      <c r="F446"/>
      <c r="G446"/>
      <c r="H446"/>
      <c r="I446"/>
      <c r="J446"/>
      <c r="K446"/>
      <c r="L446"/>
      <c r="M446"/>
      <c r="N446"/>
      <c r="O446"/>
    </row>
    <row r="447" spans="1:15" x14ac:dyDescent="0.25">
      <c r="A447"/>
      <c r="B447"/>
      <c r="C447"/>
      <c r="D447"/>
      <c r="E447"/>
      <c r="F447"/>
      <c r="G447"/>
      <c r="H447"/>
      <c r="I447"/>
      <c r="J447"/>
      <c r="K447"/>
      <c r="L447"/>
      <c r="M447"/>
      <c r="N447"/>
      <c r="O447"/>
    </row>
    <row r="448" spans="1:15" x14ac:dyDescent="0.25">
      <c r="A448"/>
      <c r="B448"/>
      <c r="C448"/>
      <c r="D448"/>
      <c r="E448"/>
      <c r="F448"/>
      <c r="G448"/>
      <c r="H448"/>
      <c r="I448"/>
      <c r="J448"/>
      <c r="K448"/>
      <c r="L448"/>
      <c r="M448"/>
      <c r="N448"/>
      <c r="O448"/>
    </row>
    <row r="449" spans="1:15" x14ac:dyDescent="0.25">
      <c r="A449"/>
      <c r="B449"/>
      <c r="C449"/>
      <c r="D449"/>
      <c r="E449"/>
      <c r="F449"/>
      <c r="G449"/>
      <c r="H449"/>
      <c r="I449"/>
      <c r="J449"/>
      <c r="K449"/>
      <c r="L449"/>
      <c r="M449"/>
      <c r="N449"/>
      <c r="O449"/>
    </row>
    <row r="450" spans="1:15" x14ac:dyDescent="0.25">
      <c r="A450"/>
      <c r="B450"/>
      <c r="C450"/>
      <c r="D450"/>
      <c r="E450"/>
      <c r="F450"/>
      <c r="G450"/>
      <c r="H450"/>
      <c r="I450"/>
      <c r="J450"/>
      <c r="K450"/>
      <c r="L450"/>
      <c r="M450"/>
      <c r="N450"/>
      <c r="O450"/>
    </row>
    <row r="451" spans="1:15" x14ac:dyDescent="0.25">
      <c r="A451"/>
      <c r="B451"/>
      <c r="C451"/>
      <c r="D451"/>
      <c r="E451"/>
      <c r="F451"/>
      <c r="G451"/>
      <c r="H451"/>
      <c r="I451"/>
      <c r="J451"/>
      <c r="K451"/>
      <c r="L451"/>
      <c r="M451"/>
      <c r="N451"/>
      <c r="O451"/>
    </row>
    <row r="452" spans="1:15" x14ac:dyDescent="0.25">
      <c r="A452"/>
      <c r="B452"/>
      <c r="C452"/>
      <c r="D452"/>
      <c r="E452"/>
      <c r="F452"/>
      <c r="G452"/>
      <c r="H452"/>
      <c r="I452"/>
      <c r="J452"/>
      <c r="K452"/>
      <c r="L452"/>
      <c r="M452"/>
      <c r="N452"/>
      <c r="O452"/>
    </row>
    <row r="453" spans="1:15" x14ac:dyDescent="0.25">
      <c r="A453"/>
      <c r="B453"/>
      <c r="C453"/>
      <c r="D453"/>
      <c r="E453"/>
      <c r="F453"/>
      <c r="G453"/>
      <c r="H453"/>
      <c r="I453"/>
      <c r="J453"/>
      <c r="K453"/>
      <c r="L453"/>
      <c r="M453"/>
      <c r="N453"/>
      <c r="O453"/>
    </row>
    <row r="454" spans="1:15" x14ac:dyDescent="0.25">
      <c r="A454"/>
      <c r="B454"/>
      <c r="C454"/>
      <c r="D454"/>
      <c r="E454"/>
      <c r="F454"/>
      <c r="G454"/>
      <c r="H454"/>
      <c r="I454"/>
      <c r="J454"/>
      <c r="K454"/>
      <c r="L454"/>
      <c r="M454"/>
      <c r="N454"/>
      <c r="O454"/>
    </row>
    <row r="455" spans="1:15" x14ac:dyDescent="0.25">
      <c r="A455"/>
      <c r="B455"/>
      <c r="C455"/>
      <c r="D455"/>
      <c r="E455"/>
      <c r="F455"/>
      <c r="G455"/>
      <c r="H455"/>
      <c r="I455"/>
      <c r="J455"/>
      <c r="K455"/>
      <c r="L455"/>
      <c r="M455"/>
      <c r="N455"/>
      <c r="O455"/>
    </row>
    <row r="456" spans="1:15" x14ac:dyDescent="0.25">
      <c r="A456"/>
      <c r="B456"/>
      <c r="C456"/>
      <c r="D456"/>
      <c r="E456"/>
      <c r="F456"/>
      <c r="G456"/>
      <c r="H456"/>
      <c r="I456"/>
      <c r="J456"/>
      <c r="K456"/>
      <c r="L456"/>
      <c r="M456"/>
      <c r="N456"/>
      <c r="O456"/>
    </row>
    <row r="457" spans="1:15" x14ac:dyDescent="0.25">
      <c r="A457"/>
      <c r="B457"/>
      <c r="C457"/>
      <c r="D457"/>
      <c r="E457"/>
      <c r="F457"/>
      <c r="G457"/>
      <c r="H457"/>
      <c r="I457"/>
      <c r="J457"/>
      <c r="K457"/>
      <c r="L457"/>
      <c r="M457"/>
      <c r="N457"/>
      <c r="O457"/>
    </row>
    <row r="458" spans="1:15" x14ac:dyDescent="0.25">
      <c r="A458"/>
      <c r="B458"/>
      <c r="C458"/>
      <c r="D458"/>
      <c r="E458"/>
      <c r="F458"/>
      <c r="G458"/>
      <c r="H458"/>
      <c r="I458"/>
      <c r="J458"/>
      <c r="K458"/>
      <c r="L458"/>
      <c r="M458"/>
      <c r="N458"/>
      <c r="O458"/>
    </row>
    <row r="459" spans="1:15" x14ac:dyDescent="0.25">
      <c r="A459"/>
      <c r="B459"/>
      <c r="C459"/>
      <c r="D459"/>
      <c r="E459"/>
      <c r="F459"/>
      <c r="G459"/>
      <c r="H459"/>
      <c r="I459"/>
      <c r="J459"/>
      <c r="K459"/>
      <c r="L459"/>
      <c r="M459"/>
      <c r="N459"/>
      <c r="O459"/>
    </row>
    <row r="460" spans="1:15" x14ac:dyDescent="0.25">
      <c r="A460"/>
      <c r="B460"/>
      <c r="C460"/>
      <c r="D460"/>
      <c r="E460"/>
      <c r="F460"/>
      <c r="G460"/>
      <c r="H460"/>
      <c r="I460"/>
      <c r="J460"/>
      <c r="K460"/>
      <c r="L460"/>
      <c r="M460"/>
      <c r="N460"/>
      <c r="O460"/>
    </row>
    <row r="461" spans="1:15" x14ac:dyDescent="0.25">
      <c r="A461"/>
      <c r="B461"/>
      <c r="C461"/>
      <c r="D461"/>
      <c r="E461"/>
      <c r="F461"/>
      <c r="G461"/>
      <c r="H461"/>
      <c r="I461"/>
      <c r="J461"/>
      <c r="K461"/>
      <c r="L461"/>
      <c r="M461"/>
      <c r="N461"/>
      <c r="O461"/>
    </row>
    <row r="462" spans="1:15" x14ac:dyDescent="0.25">
      <c r="A462"/>
      <c r="B462"/>
      <c r="C462"/>
      <c r="D462"/>
      <c r="E462"/>
      <c r="F462"/>
      <c r="G462"/>
      <c r="H462"/>
      <c r="I462"/>
      <c r="J462"/>
      <c r="K462"/>
      <c r="L462"/>
      <c r="M462"/>
      <c r="N462"/>
      <c r="O462"/>
    </row>
    <row r="463" spans="1:15" x14ac:dyDescent="0.25">
      <c r="A463"/>
      <c r="B463"/>
      <c r="C463"/>
      <c r="D463"/>
      <c r="E463"/>
      <c r="F463"/>
      <c r="G463"/>
      <c r="H463"/>
      <c r="I463"/>
      <c r="J463"/>
      <c r="K463"/>
      <c r="L463"/>
      <c r="M463"/>
      <c r="N463"/>
      <c r="O463"/>
    </row>
    <row r="464" spans="1:15" x14ac:dyDescent="0.25">
      <c r="A464"/>
      <c r="B464"/>
      <c r="C464"/>
      <c r="D464"/>
      <c r="E464"/>
      <c r="F464"/>
      <c r="G464"/>
      <c r="H464"/>
      <c r="I464"/>
      <c r="J464"/>
      <c r="K464"/>
      <c r="L464"/>
      <c r="M464"/>
      <c r="N464"/>
      <c r="O464"/>
    </row>
    <row r="465" spans="1:15" x14ac:dyDescent="0.25">
      <c r="A465"/>
      <c r="B465"/>
      <c r="C465"/>
      <c r="D465"/>
      <c r="E465"/>
      <c r="F465"/>
      <c r="G465"/>
      <c r="H465"/>
      <c r="I465"/>
      <c r="J465"/>
      <c r="K465"/>
      <c r="L465"/>
      <c r="M465"/>
      <c r="N465"/>
      <c r="O465"/>
    </row>
    <row r="466" spans="1:15" x14ac:dyDescent="0.25">
      <c r="A466"/>
      <c r="B466"/>
      <c r="C466"/>
      <c r="D466"/>
      <c r="E466"/>
      <c r="F466"/>
      <c r="G466"/>
      <c r="H466"/>
      <c r="I466"/>
      <c r="J466"/>
      <c r="K466"/>
      <c r="L466"/>
      <c r="M466"/>
      <c r="N466"/>
      <c r="O466"/>
    </row>
    <row r="467" spans="1:15" x14ac:dyDescent="0.25">
      <c r="A467"/>
      <c r="B467"/>
      <c r="C467"/>
      <c r="D467"/>
      <c r="E467"/>
      <c r="F467"/>
      <c r="G467"/>
      <c r="H467"/>
      <c r="I467"/>
      <c r="J467"/>
      <c r="K467"/>
      <c r="L467"/>
      <c r="M467"/>
      <c r="N467"/>
      <c r="O467"/>
    </row>
    <row r="468" spans="1:15" x14ac:dyDescent="0.25">
      <c r="A468"/>
      <c r="B468"/>
      <c r="C468"/>
      <c r="D468"/>
      <c r="E468"/>
      <c r="F468"/>
      <c r="G468"/>
      <c r="H468"/>
      <c r="I468"/>
      <c r="J468"/>
      <c r="K468"/>
      <c r="L468"/>
      <c r="M468"/>
      <c r="N468"/>
      <c r="O468"/>
    </row>
    <row r="469" spans="1:15" x14ac:dyDescent="0.25">
      <c r="A469"/>
      <c r="B469"/>
      <c r="C469"/>
      <c r="D469"/>
      <c r="E469"/>
      <c r="F469"/>
      <c r="G469"/>
      <c r="H469"/>
      <c r="I469"/>
      <c r="J469"/>
      <c r="K469"/>
      <c r="L469"/>
      <c r="M469"/>
      <c r="N469"/>
      <c r="O469"/>
    </row>
    <row r="470" spans="1:15" x14ac:dyDescent="0.25">
      <c r="A470"/>
      <c r="B470"/>
      <c r="C470"/>
      <c r="D470"/>
      <c r="E470"/>
      <c r="F470"/>
      <c r="G470"/>
      <c r="H470"/>
      <c r="I470"/>
      <c r="J470"/>
      <c r="K470"/>
      <c r="L470"/>
      <c r="M470"/>
      <c r="N470"/>
      <c r="O470"/>
    </row>
    <row r="471" spans="1:15" x14ac:dyDescent="0.25">
      <c r="A471"/>
      <c r="B471"/>
      <c r="C471"/>
      <c r="D471"/>
      <c r="E471"/>
      <c r="F471"/>
      <c r="G471"/>
      <c r="H471"/>
      <c r="I471"/>
      <c r="J471"/>
      <c r="K471"/>
      <c r="L471"/>
      <c r="M471"/>
      <c r="N471"/>
      <c r="O471"/>
    </row>
    <row r="472" spans="1:15" x14ac:dyDescent="0.25">
      <c r="A472"/>
      <c r="B472"/>
      <c r="C472"/>
      <c r="D472"/>
      <c r="E472"/>
      <c r="F472"/>
      <c r="G472"/>
      <c r="H472"/>
      <c r="I472"/>
      <c r="J472"/>
      <c r="K472"/>
      <c r="L472"/>
      <c r="M472"/>
      <c r="N472"/>
      <c r="O472"/>
    </row>
    <row r="473" spans="1:15" x14ac:dyDescent="0.25">
      <c r="A473"/>
      <c r="B473"/>
      <c r="C473"/>
      <c r="D473"/>
      <c r="E473"/>
      <c r="F473"/>
      <c r="G473"/>
      <c r="H473"/>
      <c r="I473"/>
      <c r="J473"/>
      <c r="K473"/>
      <c r="L473"/>
      <c r="M473"/>
      <c r="N473"/>
      <c r="O473"/>
    </row>
    <row r="474" spans="1:15" x14ac:dyDescent="0.25">
      <c r="A474"/>
      <c r="B474"/>
      <c r="C474"/>
      <c r="D474"/>
      <c r="E474"/>
      <c r="F474"/>
      <c r="G474"/>
      <c r="H474"/>
      <c r="I474"/>
      <c r="J474"/>
      <c r="K474"/>
      <c r="L474"/>
      <c r="M474"/>
      <c r="N474"/>
      <c r="O474"/>
    </row>
    <row r="475" spans="1:15" x14ac:dyDescent="0.25">
      <c r="A475"/>
      <c r="B475"/>
      <c r="C475"/>
      <c r="D475"/>
      <c r="E475"/>
      <c r="F475"/>
      <c r="G475"/>
      <c r="H475"/>
      <c r="I475"/>
      <c r="J475"/>
      <c r="K475"/>
      <c r="L475"/>
      <c r="M475"/>
      <c r="N475"/>
      <c r="O475"/>
    </row>
    <row r="476" spans="1:15" x14ac:dyDescent="0.25">
      <c r="A476"/>
      <c r="B476"/>
      <c r="C476"/>
      <c r="D476"/>
      <c r="E476"/>
      <c r="F476"/>
      <c r="G476"/>
      <c r="H476"/>
      <c r="I476"/>
      <c r="J476"/>
      <c r="K476"/>
      <c r="L476"/>
      <c r="M476"/>
      <c r="N476"/>
      <c r="O476"/>
    </row>
    <row r="477" spans="1:15" x14ac:dyDescent="0.25">
      <c r="A477"/>
      <c r="B477"/>
      <c r="C477"/>
      <c r="D477"/>
      <c r="E477"/>
      <c r="F477"/>
      <c r="G477"/>
      <c r="H477"/>
      <c r="I477"/>
      <c r="J477"/>
      <c r="K477"/>
      <c r="L477"/>
      <c r="M477"/>
      <c r="N477"/>
      <c r="O477"/>
    </row>
    <row r="478" spans="1:15" x14ac:dyDescent="0.25">
      <c r="A478"/>
      <c r="B478"/>
      <c r="C478"/>
      <c r="D478"/>
      <c r="E478"/>
      <c r="F478"/>
      <c r="G478"/>
      <c r="H478"/>
      <c r="I478"/>
      <c r="J478"/>
      <c r="K478"/>
      <c r="L478"/>
      <c r="M478"/>
      <c r="N478"/>
      <c r="O478"/>
    </row>
    <row r="479" spans="1:15" x14ac:dyDescent="0.25">
      <c r="A479"/>
      <c r="B479"/>
      <c r="C479"/>
      <c r="D479"/>
      <c r="E479"/>
      <c r="F479"/>
      <c r="G479"/>
      <c r="H479"/>
      <c r="I479"/>
      <c r="J479"/>
      <c r="K479"/>
      <c r="L479"/>
      <c r="M479"/>
      <c r="N479"/>
      <c r="O479"/>
    </row>
    <row r="480" spans="1:15" x14ac:dyDescent="0.25">
      <c r="A480"/>
      <c r="B480"/>
      <c r="C480"/>
      <c r="D480"/>
      <c r="E480"/>
      <c r="F480"/>
      <c r="G480"/>
      <c r="H480"/>
      <c r="I480"/>
      <c r="J480"/>
      <c r="K480"/>
      <c r="L480"/>
      <c r="M480"/>
      <c r="N480"/>
      <c r="O480"/>
    </row>
    <row r="481" spans="1:15" x14ac:dyDescent="0.25">
      <c r="A481"/>
      <c r="B481"/>
      <c r="C481"/>
      <c r="D481"/>
      <c r="E481"/>
      <c r="F481"/>
      <c r="G481"/>
      <c r="H481"/>
      <c r="I481"/>
      <c r="J481"/>
      <c r="K481"/>
      <c r="L481"/>
      <c r="M481"/>
      <c r="N481"/>
      <c r="O481"/>
    </row>
    <row r="482" spans="1:15" x14ac:dyDescent="0.25">
      <c r="A482"/>
      <c r="B482"/>
      <c r="C482"/>
      <c r="D482"/>
      <c r="E482"/>
      <c r="F482"/>
      <c r="G482"/>
      <c r="H482"/>
      <c r="I482"/>
      <c r="J482"/>
      <c r="K482"/>
      <c r="L482"/>
      <c r="M482"/>
      <c r="N482"/>
      <c r="O482"/>
    </row>
    <row r="483" spans="1:15" x14ac:dyDescent="0.25">
      <c r="A483"/>
      <c r="B483"/>
      <c r="C483"/>
      <c r="D483"/>
      <c r="E483"/>
      <c r="F483"/>
      <c r="G483"/>
      <c r="H483"/>
      <c r="I483"/>
      <c r="J483"/>
      <c r="K483"/>
      <c r="L483"/>
      <c r="M483"/>
      <c r="N483"/>
      <c r="O483"/>
    </row>
    <row r="484" spans="1:15" x14ac:dyDescent="0.25">
      <c r="A484"/>
      <c r="B484"/>
      <c r="C484"/>
      <c r="D484"/>
      <c r="E484"/>
      <c r="F484"/>
      <c r="G484"/>
      <c r="H484"/>
      <c r="I484"/>
      <c r="J484"/>
      <c r="K484"/>
      <c r="L484"/>
      <c r="M484"/>
      <c r="N484"/>
      <c r="O484"/>
    </row>
    <row r="485" spans="1:15" x14ac:dyDescent="0.25">
      <c r="A485"/>
      <c r="B485"/>
      <c r="C485"/>
      <c r="D485"/>
      <c r="E485"/>
      <c r="F485"/>
      <c r="G485"/>
      <c r="H485"/>
      <c r="I485"/>
      <c r="J485"/>
      <c r="K485"/>
      <c r="L485"/>
      <c r="M485"/>
      <c r="N485"/>
      <c r="O485"/>
    </row>
    <row r="486" spans="1:15" x14ac:dyDescent="0.25">
      <c r="A486"/>
      <c r="B486"/>
      <c r="C486"/>
      <c r="D486"/>
      <c r="E486"/>
      <c r="F486"/>
      <c r="G486"/>
      <c r="H486"/>
      <c r="I486"/>
      <c r="J486"/>
      <c r="K486"/>
      <c r="L486"/>
      <c r="M486"/>
      <c r="N486"/>
      <c r="O486"/>
    </row>
    <row r="487" spans="1:15" x14ac:dyDescent="0.25">
      <c r="A487"/>
      <c r="B487"/>
      <c r="C487"/>
      <c r="D487"/>
      <c r="E487"/>
      <c r="F487"/>
      <c r="G487"/>
      <c r="H487"/>
      <c r="I487"/>
      <c r="J487"/>
      <c r="K487"/>
      <c r="L487"/>
      <c r="M487"/>
      <c r="N487"/>
      <c r="O487"/>
    </row>
    <row r="488" spans="1:15" x14ac:dyDescent="0.25">
      <c r="A488"/>
      <c r="B488"/>
      <c r="C488"/>
      <c r="D488"/>
      <c r="E488"/>
      <c r="F488"/>
      <c r="G488"/>
      <c r="H488"/>
      <c r="I488"/>
      <c r="J488"/>
      <c r="K488"/>
      <c r="L488"/>
      <c r="M488"/>
      <c r="N488"/>
      <c r="O488"/>
    </row>
    <row r="490" spans="1:15" x14ac:dyDescent="0.25">
      <c r="B490" s="70"/>
      <c r="C490" s="70"/>
    </row>
    <row r="491" spans="1:15" x14ac:dyDescent="0.25">
      <c r="B491" s="70"/>
      <c r="C491" s="70"/>
    </row>
    <row r="492" spans="1:15" x14ac:dyDescent="0.25">
      <c r="B492" s="70"/>
      <c r="C492" s="70"/>
    </row>
    <row r="495" spans="1:15" x14ac:dyDescent="0.25">
      <c r="B495" s="70"/>
      <c r="C495" s="70"/>
    </row>
    <row r="496" spans="1:15" x14ac:dyDescent="0.25">
      <c r="B496" s="70"/>
      <c r="C496" s="70"/>
    </row>
  </sheetData>
  <mergeCells count="6">
    <mergeCell ref="A1:F2"/>
    <mergeCell ref="B496:C496"/>
    <mergeCell ref="B490:C490"/>
    <mergeCell ref="B491:C491"/>
    <mergeCell ref="B492:C492"/>
    <mergeCell ref="B495:C495"/>
  </mergeCells>
  <conditionalFormatting sqref="A4:A73">
    <cfRule type="expression" priority="1001">
      <formula>SEARCH("BILLING DONE", #REF!) &gt; 0</formula>
    </cfRule>
    <cfRule type="expression" dxfId="82" priority="1002">
      <formula>SEARCH("NOT BILLED", #REF!) &gt; 0</formula>
    </cfRule>
  </conditionalFormatting>
  <conditionalFormatting sqref="B131:B133">
    <cfRule type="expression" priority="637">
      <formula>SEARCH("BILLING DONE", #REF!) &gt; 0</formula>
    </cfRule>
    <cfRule type="expression" dxfId="81" priority="638">
      <formula>SEARCH("NOT BILLED", #REF!) &gt; 0</formula>
    </cfRule>
  </conditionalFormatting>
  <conditionalFormatting sqref="B294:B348">
    <cfRule type="expression" priority="783">
      <formula>SEARCH("BILLING DONE", #REF!) &gt; 0</formula>
    </cfRule>
    <cfRule type="expression" dxfId="80" priority="784">
      <formula>SEARCH("NOT BILLED", #REF!) &gt; 0</formula>
    </cfRule>
  </conditionalFormatting>
  <conditionalFormatting sqref="B4:F73 E74:F77 A74:D130 E78:E81 E82:F129 E130:E133 A131:A133 C131:D133 A134:E152 A153:C155 A156:D158 A159:C159 A160:D175 A176:C178 A179:D186 A187:C187 A188:D193 A194:C194 A195:B195 A196:C197 A198:D201 A202:C276 A277:D293 E291:F346 A294:A348 E347 E348:F395 A349:D350 A351:C352 A353:D354 A355:C356 A357:D359 A360:C361 A362:D363 A364:C364 A365:D366 A367:C368 A369:D369 A370:C372 A373:D373 A374:C377 A378:D378 A379:C380 A381:D381 A382:C383 A384:D384 A385:C386 A387:D387 A388:C390 A391:D391 A392:C394 A395:D395">
    <cfRule type="expression" priority="1083">
      <formula>SEARCH("BILLING DONE", #REF!) &gt; 0</formula>
    </cfRule>
    <cfRule type="expression" dxfId="79" priority="1084">
      <formula>SEARCH("NOT BILLED", #REF!) &gt; 0</formula>
    </cfRule>
  </conditionalFormatting>
  <conditionalFormatting sqref="C3">
    <cfRule type="containsText" dxfId="78" priority="2141" operator="containsText" text="HOLD">
      <formula>NOT(ISERROR(SEARCH("HOLD",D3)))</formula>
    </cfRule>
    <cfRule type="containsText" dxfId="77" priority="2142" operator="containsText" text="IN PROGRESS">
      <formula>NOT(ISERROR(SEARCH("IN PROGRESS",C3)))</formula>
    </cfRule>
  </conditionalFormatting>
  <conditionalFormatting sqref="C3:C73">
    <cfRule type="containsText" dxfId="76" priority="2143" operator="containsText" text="NOT YET STARTED">
      <formula>NOT(ISERROR(SEARCH("NOT YET STARTED",C3)))</formula>
    </cfRule>
  </conditionalFormatting>
  <conditionalFormatting sqref="C4:C73">
    <cfRule type="containsText" dxfId="75" priority="2153" operator="containsText" text="IN PROGRESS">
      <formula>NOT(ISERROR(SEARCH("IN PROGRESS",C4)))</formula>
    </cfRule>
  </conditionalFormatting>
  <conditionalFormatting sqref="C4:C395">
    <cfRule type="containsText" dxfId="74" priority="1159" operator="containsText" text="COMPLETED">
      <formula>NOT(ISERROR(SEARCH("COMPLETED",C4)))</formula>
    </cfRule>
    <cfRule type="containsText" dxfId="73" priority="1160" operator="containsText" text="HOLD">
      <formula>NOT(ISERROR(SEARCH("HOLD",C4)))</formula>
    </cfRule>
  </conditionalFormatting>
  <conditionalFormatting sqref="C74:C76">
    <cfRule type="expression" priority="939">
      <formula>SEARCH("BILLING DONE", #REF!) &gt; 0</formula>
    </cfRule>
    <cfRule type="expression" dxfId="72" priority="940">
      <formula>SEARCH("NOT BILLED", #REF!) &gt; 0</formula>
    </cfRule>
  </conditionalFormatting>
  <conditionalFormatting sqref="C74:C395">
    <cfRule type="containsText" dxfId="71" priority="1161" operator="containsText" text="NOT YET STARTED">
      <formula>NOT(ISERROR(SEARCH("NOT YET STARTED",C74)))</formula>
    </cfRule>
    <cfRule type="containsText" dxfId="70" priority="1162" operator="containsText" text="IN PROGRESS">
      <formula>NOT(ISERROR(SEARCH("IN PROGRESS",C74)))</formula>
    </cfRule>
  </conditionalFormatting>
  <conditionalFormatting sqref="C75:C76">
    <cfRule type="containsText" dxfId="69" priority="957" operator="containsText" text="COMPLETED">
      <formula>NOT(ISERROR(SEARCH("COMPLETED",C75)))</formula>
    </cfRule>
    <cfRule type="containsText" dxfId="68" priority="958" operator="containsText" text="HOLD">
      <formula>NOT(ISERROR(SEARCH("HOLD",C75)))</formula>
    </cfRule>
    <cfRule type="containsText" dxfId="67" priority="959" operator="containsText" text="NOT YET STARTED">
      <formula>NOT(ISERROR(SEARCH("NOT YET STARTED",C75)))</formula>
    </cfRule>
    <cfRule type="containsText" dxfId="66" priority="960" operator="containsText" text="IN PROGRESS">
      <formula>NOT(ISERROR(SEARCH("IN PROGRESS",C75)))</formula>
    </cfRule>
  </conditionalFormatting>
  <conditionalFormatting sqref="C83:C85">
    <cfRule type="expression" priority="1881">
      <formula>SEARCH("BILLING DONE", #REF!) &gt; 0</formula>
    </cfRule>
    <cfRule type="expression" dxfId="65" priority="1882">
      <formula>SEARCH("NOT BILLED", #REF!) &gt; 0</formula>
    </cfRule>
  </conditionalFormatting>
  <conditionalFormatting sqref="C98:C102">
    <cfRule type="expression" priority="803">
      <formula>SEARCH("BILLING DONE", #REF!) &gt; 0</formula>
    </cfRule>
    <cfRule type="expression" dxfId="64" priority="804">
      <formula>SEARCH("NOT BILLED", #REF!) &gt; 0</formula>
    </cfRule>
  </conditionalFormatting>
  <conditionalFormatting sqref="C102">
    <cfRule type="containsText" dxfId="63" priority="805" operator="containsText" text="COMPLETED">
      <formula>NOT(ISERROR(SEARCH("COMPLETED",C102)))</formula>
    </cfRule>
    <cfRule type="containsText" dxfId="62" priority="806" operator="containsText" text="HOLD">
      <formula>NOT(ISERROR(SEARCH("HOLD",C102)))</formula>
    </cfRule>
    <cfRule type="containsText" dxfId="61" priority="807" operator="containsText" text="NOT YET STARTED">
      <formula>NOT(ISERROR(SEARCH("NOT YET STARTED",C102)))</formula>
    </cfRule>
    <cfRule type="containsText" dxfId="60" priority="808" operator="containsText" text="IN PROGRESS">
      <formula>NOT(ISERROR(SEARCH("IN PROGRESS",C102)))</formula>
    </cfRule>
  </conditionalFormatting>
  <conditionalFormatting sqref="C104:C105">
    <cfRule type="expression" priority="903">
      <formula>SEARCH("BILLING DONE", #REF!) &gt; 0</formula>
    </cfRule>
    <cfRule type="expression" dxfId="59" priority="904">
      <formula>SEARCH("NOT BILLED", #REF!) &gt; 0</formula>
    </cfRule>
  </conditionalFormatting>
  <conditionalFormatting sqref="C130:C133">
    <cfRule type="expression" priority="641">
      <formula>SEARCH("BILLING DONE", #REF!) &gt; 0</formula>
    </cfRule>
    <cfRule type="expression" dxfId="58" priority="642">
      <formula>SEARCH("NOT BILLED", #REF!) &gt; 0</formula>
    </cfRule>
  </conditionalFormatting>
  <conditionalFormatting sqref="C142">
    <cfRule type="expression" priority="983">
      <formula>SEARCH("BILLING DONE", #REF!) &gt; 0</formula>
    </cfRule>
    <cfRule type="expression" dxfId="57" priority="984">
      <formula>SEARCH("NOT BILLED", #REF!) &gt; 0</formula>
    </cfRule>
  </conditionalFormatting>
  <conditionalFormatting sqref="C147:C150">
    <cfRule type="expression" priority="549">
      <formula>SEARCH("BILLING DONE", #REF!) &gt; 0</formula>
    </cfRule>
    <cfRule type="expression" dxfId="56" priority="550">
      <formula>SEARCH("NOT BILLED", #REF!) &gt; 0</formula>
    </cfRule>
  </conditionalFormatting>
  <conditionalFormatting sqref="C153:C155">
    <cfRule type="expression" priority="503">
      <formula>SEARCH("BILLING DONE", #REF!) &gt; 0</formula>
    </cfRule>
    <cfRule type="expression" dxfId="55" priority="504">
      <formula>SEARCH("NOT BILLED", #REF!) &gt; 0</formula>
    </cfRule>
  </conditionalFormatting>
  <conditionalFormatting sqref="C176:C178">
    <cfRule type="expression" priority="511">
      <formula>SEARCH("BILLING DONE", #REF!) &gt; 0</formula>
    </cfRule>
    <cfRule type="expression" dxfId="54" priority="512">
      <formula>SEARCH("NOT BILLED", #REF!) &gt; 0</formula>
    </cfRule>
  </conditionalFormatting>
  <conditionalFormatting sqref="C195:C197">
    <cfRule type="expression" priority="465">
      <formula>SEARCH("BILLING DONE", #REF!) &gt; 0</formula>
    </cfRule>
    <cfRule type="expression" dxfId="53" priority="466">
      <formula>SEARCH("NOT BILLED", #REF!) &gt; 0</formula>
    </cfRule>
  </conditionalFormatting>
  <conditionalFormatting sqref="C199:C201">
    <cfRule type="expression" priority="289">
      <formula>SEARCH("BILLING DONE", #REF!) &gt; 0</formula>
    </cfRule>
    <cfRule type="expression" dxfId="52" priority="290">
      <formula>SEARCH("NOT BILLED", #REF!) &gt; 0</formula>
    </cfRule>
  </conditionalFormatting>
  <conditionalFormatting sqref="C279:C280">
    <cfRule type="expression" priority="979">
      <formula>SEARCH("BILLING DONE", #REF!) &gt; 0</formula>
    </cfRule>
    <cfRule type="expression" dxfId="51" priority="980">
      <formula>SEARCH("NOT BILLED", #REF!) &gt; 0</formula>
    </cfRule>
  </conditionalFormatting>
  <conditionalFormatting sqref="C282:C283">
    <cfRule type="expression" priority="353">
      <formula>SEARCH("BILLING DONE", #REF!) &gt; 0</formula>
    </cfRule>
    <cfRule type="expression" dxfId="50" priority="354">
      <formula>SEARCH("NOT BILLED", #REF!) &gt; 0</formula>
    </cfRule>
  </conditionalFormatting>
  <conditionalFormatting sqref="C285:C286">
    <cfRule type="expression" priority="913">
      <formula>SEARCH("BILLING DONE", #REF!) &gt; 0</formula>
    </cfRule>
    <cfRule type="expression" dxfId="49" priority="914">
      <formula>SEARCH("NOT BILLED", #REF!) &gt; 0</formula>
    </cfRule>
  </conditionalFormatting>
  <conditionalFormatting sqref="C288:C290">
    <cfRule type="expression" priority="701">
      <formula>SEARCH("BILLING DONE", #REF!) &gt; 0</formula>
    </cfRule>
    <cfRule type="expression" dxfId="48" priority="702">
      <formula>SEARCH("NOT BILLED", #REF!) &gt; 0</formula>
    </cfRule>
  </conditionalFormatting>
  <conditionalFormatting sqref="C294:C348">
    <cfRule type="expression" priority="73">
      <formula>SEARCH("BILLING DONE", #REF!) &gt; 0</formula>
    </cfRule>
    <cfRule type="expression" dxfId="47" priority="74">
      <formula>SEARCH("NOT BILLED", #REF!) &gt; 0</formula>
    </cfRule>
  </conditionalFormatting>
  <conditionalFormatting sqref="C358:C359">
    <cfRule type="expression" priority="349">
      <formula>SEARCH("BILLING DONE", #REF!) &gt; 0</formula>
    </cfRule>
    <cfRule type="expression" dxfId="46" priority="350">
      <formula>SEARCH("NOT BILLED", #REF!) &gt; 0</formula>
    </cfRule>
  </conditionalFormatting>
  <conditionalFormatting sqref="C363:C364">
    <cfRule type="expression" priority="347">
      <formula>SEARCH("BILLING DONE", #REF!) &gt; 0</formula>
    </cfRule>
    <cfRule type="expression" dxfId="45" priority="348">
      <formula>SEARCH("NOT BILLED", #REF!) &gt; 0</formula>
    </cfRule>
  </conditionalFormatting>
  <conditionalFormatting sqref="C366:C368">
    <cfRule type="expression" priority="345">
      <formula>SEARCH("BILLING DONE", #REF!) &gt; 0</formula>
    </cfRule>
    <cfRule type="expression" dxfId="44" priority="346">
      <formula>SEARCH("NOT BILLED", #REF!) &gt; 0</formula>
    </cfRule>
  </conditionalFormatting>
  <conditionalFormatting sqref="C370:C372">
    <cfRule type="expression" priority="2156">
      <formula>SEARCH("BILLING DONE", #REF!) &gt; 0</formula>
    </cfRule>
    <cfRule type="expression" dxfId="43" priority="2157">
      <formula>SEARCH("NOT BILLED", #REF!) &gt; 0</formula>
    </cfRule>
  </conditionalFormatting>
  <conditionalFormatting sqref="C374:C377">
    <cfRule type="expression" priority="83">
      <formula>SEARCH("BILLING DONE", #REF!) &gt; 0</formula>
    </cfRule>
    <cfRule type="expression" dxfId="42" priority="84">
      <formula>SEARCH("NOT BILLED", #REF!) &gt; 0</formula>
    </cfRule>
  </conditionalFormatting>
  <conditionalFormatting sqref="C379:C380">
    <cfRule type="expression" priority="79">
      <formula>SEARCH("BILLING DONE", #REF!) &gt; 0</formula>
    </cfRule>
    <cfRule type="expression" dxfId="41" priority="80">
      <formula>SEARCH("NOT BILLED", #REF!) &gt; 0</formula>
    </cfRule>
  </conditionalFormatting>
  <conditionalFormatting sqref="C382:C383 C385:C386">
    <cfRule type="expression" priority="227">
      <formula>SEARCH("BILLING DONE", #REF!) &gt; 0</formula>
    </cfRule>
    <cfRule type="expression" dxfId="40" priority="228">
      <formula>SEARCH("NOT BILLED", #REF!) &gt; 0</formula>
    </cfRule>
  </conditionalFormatting>
  <conditionalFormatting sqref="C388:C390">
    <cfRule type="expression" priority="189">
      <formula>SEARCH("BILLING DONE", #REF!) &gt; 0</formula>
    </cfRule>
    <cfRule type="expression" dxfId="39" priority="190">
      <formula>SEARCH("NOT BILLED", #REF!) &gt; 0</formula>
    </cfRule>
  </conditionalFormatting>
  <conditionalFormatting sqref="C392:C394">
    <cfRule type="expression" priority="97">
      <formula>SEARCH("BILLING DONE", #REF!) &gt; 0</formula>
    </cfRule>
    <cfRule type="expression" dxfId="38" priority="98">
      <formula>SEARCH("NOT BILLED", #REF!) &gt; 0</formula>
    </cfRule>
  </conditionalFormatting>
  <conditionalFormatting sqref="D144">
    <cfRule type="containsText" dxfId="37" priority="1031" operator="containsText" text="COMPLETED">
      <formula>NOT(ISERROR(SEARCH("COMPLETED",D144)))</formula>
    </cfRule>
    <cfRule type="containsText" dxfId="36" priority="1032" operator="containsText" text="HOLD">
      <formula>NOT(ISERROR(SEARCH("HOLD",D144)))</formula>
    </cfRule>
    <cfRule type="containsText" dxfId="35" priority="1033" operator="containsText" text="NOT YET STARTED">
      <formula>NOT(ISERROR(SEARCH("NOT YET STARTED",D144)))</formula>
    </cfRule>
    <cfRule type="containsText" dxfId="34" priority="1034" operator="containsText" text="IN PROGRESS">
      <formula>NOT(ISERROR(SEARCH("IN PROGRESS",D144)))</formula>
    </cfRule>
  </conditionalFormatting>
  <conditionalFormatting sqref="D153:D155">
    <cfRule type="expression" priority="729">
      <formula>SEARCH("BILLING DONE", #REF!) &gt; 0</formula>
    </cfRule>
    <cfRule type="expression" dxfId="33" priority="730">
      <formula>SEARCH("NOT BILLED", #REF!) &gt; 0</formula>
    </cfRule>
  </conditionalFormatting>
  <conditionalFormatting sqref="D159">
    <cfRule type="expression" priority="731">
      <formula>SEARCH("BILLING DONE", #REF!) &gt; 0</formula>
    </cfRule>
    <cfRule type="expression" dxfId="32" priority="732">
      <formula>SEARCH("NOT BILLED", #REF!) &gt; 0</formula>
    </cfRule>
  </conditionalFormatting>
  <conditionalFormatting sqref="D176:D178">
    <cfRule type="expression" priority="351">
      <formula>SEARCH("BILLING DONE", #REF!) &gt; 0</formula>
    </cfRule>
    <cfRule type="expression" dxfId="31" priority="352">
      <formula>SEARCH("NOT BILLED", #REF!) &gt; 0</formula>
    </cfRule>
  </conditionalFormatting>
  <conditionalFormatting sqref="D187">
    <cfRule type="expression" priority="595">
      <formula>SEARCH("BILLING DONE", #REF!) &gt; 0</formula>
    </cfRule>
    <cfRule type="expression" dxfId="30" priority="596">
      <formula>SEARCH("NOT BILLED", #REF!) &gt; 0</formula>
    </cfRule>
  </conditionalFormatting>
  <conditionalFormatting sqref="D194:D197">
    <cfRule type="expression" priority="463">
      <formula>SEARCH("BILLING DONE", #REF!) &gt; 0</formula>
    </cfRule>
    <cfRule type="expression" dxfId="29" priority="464">
      <formula>SEARCH("NOT BILLED", #REF!) &gt; 0</formula>
    </cfRule>
  </conditionalFormatting>
  <conditionalFormatting sqref="D202:D276">
    <cfRule type="expression" priority="69">
      <formula>SEARCH("BILLING DONE", #REF!) &gt; 0</formula>
    </cfRule>
    <cfRule type="expression" dxfId="28" priority="70">
      <formula>SEARCH("NOT BILLED", #REF!) &gt; 0</formula>
    </cfRule>
  </conditionalFormatting>
  <conditionalFormatting sqref="D294:D348">
    <cfRule type="expression" priority="13">
      <formula>SEARCH("BILLING DONE", #REF!) &gt; 0</formula>
    </cfRule>
    <cfRule type="expression" dxfId="27" priority="14">
      <formula>SEARCH("NOT BILLED", #REF!) &gt; 0</formula>
    </cfRule>
  </conditionalFormatting>
  <conditionalFormatting sqref="D351:D352">
    <cfRule type="expression" priority="573">
      <formula>SEARCH("BILLING DONE", #REF!) &gt; 0</formula>
    </cfRule>
    <cfRule type="expression" dxfId="26" priority="574">
      <formula>SEARCH("NOT BILLED", #REF!) &gt; 0</formula>
    </cfRule>
  </conditionalFormatting>
  <conditionalFormatting sqref="D355:D356">
    <cfRule type="expression" priority="571">
      <formula>SEARCH("BILLING DONE", #REF!) &gt; 0</formula>
    </cfRule>
    <cfRule type="expression" dxfId="25" priority="572">
      <formula>SEARCH("NOT BILLED", #REF!) &gt; 0</formula>
    </cfRule>
  </conditionalFormatting>
  <conditionalFormatting sqref="D360:D361">
    <cfRule type="expression" priority="565">
      <formula>SEARCH("BILLING DONE", #REF!) &gt; 0</formula>
    </cfRule>
    <cfRule type="expression" dxfId="24" priority="566">
      <formula>SEARCH("NOT BILLED", #REF!) &gt; 0</formula>
    </cfRule>
  </conditionalFormatting>
  <conditionalFormatting sqref="D364">
    <cfRule type="expression" priority="357">
      <formula>SEARCH("BILLING DONE", #REF!) &gt; 0</formula>
    </cfRule>
    <cfRule type="expression" dxfId="23" priority="358">
      <formula>SEARCH("NOT BILLED", #REF!) &gt; 0</formula>
    </cfRule>
  </conditionalFormatting>
  <conditionalFormatting sqref="D367:D368">
    <cfRule type="expression" priority="249">
      <formula>SEARCH("BILLING DONE", #REF!) &gt; 0</formula>
    </cfRule>
    <cfRule type="expression" dxfId="22" priority="250">
      <formula>SEARCH("NOT BILLED", #REF!) &gt; 0</formula>
    </cfRule>
  </conditionalFormatting>
  <conditionalFormatting sqref="D370:D372">
    <cfRule type="expression" priority="263">
      <formula>SEARCH("BILLING DONE", #REF!) &gt; 0</formula>
    </cfRule>
    <cfRule type="expression" dxfId="21" priority="264">
      <formula>SEARCH("NOT BILLED", #REF!) &gt; 0</formula>
    </cfRule>
  </conditionalFormatting>
  <conditionalFormatting sqref="D374:D377">
    <cfRule type="expression" priority="259">
      <formula>SEARCH("BILLING DONE", #REF!) &gt; 0</formula>
    </cfRule>
    <cfRule type="expression" dxfId="20" priority="260">
      <formula>SEARCH("NOT BILLED", #REF!) &gt; 0</formula>
    </cfRule>
  </conditionalFormatting>
  <conditionalFormatting sqref="D379:D380">
    <cfRule type="expression" priority="253">
      <formula>SEARCH("BILLING DONE", #REF!) &gt; 0</formula>
    </cfRule>
    <cfRule type="expression" dxfId="19" priority="254">
      <formula>SEARCH("NOT BILLED", #REF!) &gt; 0</formula>
    </cfRule>
  </conditionalFormatting>
  <conditionalFormatting sqref="D382:D383">
    <cfRule type="expression" priority="225">
      <formula>SEARCH("BILLING DONE", #REF!) &gt; 0</formula>
    </cfRule>
    <cfRule type="expression" dxfId="18" priority="226">
      <formula>SEARCH("NOT BILLED", #REF!) &gt; 0</formula>
    </cfRule>
  </conditionalFormatting>
  <conditionalFormatting sqref="D385:D386">
    <cfRule type="expression" priority="77">
      <formula>SEARCH("BILLING DONE", #REF!) &gt; 0</formula>
    </cfRule>
    <cfRule type="expression" dxfId="17" priority="78">
      <formula>SEARCH("NOT BILLED", #REF!) &gt; 0</formula>
    </cfRule>
  </conditionalFormatting>
  <conditionalFormatting sqref="D388:D390">
    <cfRule type="expression" priority="7">
      <formula>SEARCH("BILLING DONE", #REF!) &gt; 0</formula>
    </cfRule>
    <cfRule type="expression" dxfId="16" priority="8">
      <formula>SEARCH("NOT BILLED", #REF!) &gt; 0</formula>
    </cfRule>
  </conditionalFormatting>
  <conditionalFormatting sqref="D392:D394">
    <cfRule type="expression" priority="1">
      <formula>SEARCH("BILLING DONE", #REF!) &gt; 0</formula>
    </cfRule>
    <cfRule type="expression" dxfId="15" priority="2">
      <formula>SEARCH("NOT BILLED", #REF!) &gt; 0</formula>
    </cfRule>
  </conditionalFormatting>
  <conditionalFormatting sqref="E153:E290">
    <cfRule type="expression" priority="367">
      <formula>SEARCH("BILLING DONE", #REF!) &gt; 0</formula>
    </cfRule>
    <cfRule type="expression" dxfId="14" priority="368">
      <formula>SEARCH("NOT BILLED", #REF!) &gt; 0</formula>
    </cfRule>
  </conditionalFormatting>
  <conditionalFormatting sqref="E180">
    <cfRule type="containsText" dxfId="13" priority="885" operator="containsText" text="COMPLETED">
      <formula>NOT(ISERROR(SEARCH("COMPLETED",E180)))</formula>
    </cfRule>
    <cfRule type="containsText" dxfId="12" priority="886" operator="containsText" text="HOLD">
      <formula>NOT(ISERROR(SEARCH("HOLD",E180)))</formula>
    </cfRule>
    <cfRule type="containsText" dxfId="11" priority="887" operator="containsText" text="NOT YET STARTED">
      <formula>NOT(ISERROR(SEARCH("NOT YET STARTED",E180)))</formula>
    </cfRule>
    <cfRule type="containsText" dxfId="10" priority="888" operator="containsText" text="IN PROGRESS">
      <formula>NOT(ISERROR(SEARCH("IN PROGRESS",E180)))</formula>
    </cfRule>
  </conditionalFormatting>
  <conditionalFormatting sqref="E191:E192">
    <cfRule type="containsText" dxfId="9" priority="881" operator="containsText" text="COMPLETED">
      <formula>NOT(ISERROR(SEARCH("COMPLETED",E191)))</formula>
    </cfRule>
    <cfRule type="containsText" dxfId="8" priority="882" operator="containsText" text="HOLD">
      <formula>NOT(ISERROR(SEARCH("HOLD",E191)))</formula>
    </cfRule>
    <cfRule type="containsText" dxfId="7" priority="883" operator="containsText" text="NOT YET STARTED">
      <formula>NOT(ISERROR(SEARCH("NOT YET STARTED",E191)))</formula>
    </cfRule>
    <cfRule type="containsText" dxfId="6" priority="884" operator="containsText" text="IN PROGRESS">
      <formula>NOT(ISERROR(SEARCH("IN PROGRESS",E191)))</formula>
    </cfRule>
  </conditionalFormatting>
  <conditionalFormatting sqref="E288:E290">
    <cfRule type="containsText" dxfId="5" priority="649" operator="containsText" text="COMPLETED">
      <formula>NOT(ISERROR(SEARCH("COMPLETED",E288)))</formula>
    </cfRule>
    <cfRule type="containsText" dxfId="4" priority="650" operator="containsText" text="HOLD">
      <formula>NOT(ISERROR(SEARCH("HOLD",E288)))</formula>
    </cfRule>
    <cfRule type="containsText" dxfId="3" priority="651" operator="containsText" text="NOT YET STARTED">
      <formula>NOT(ISERROR(SEARCH("NOT YET STARTED",E288)))</formula>
    </cfRule>
    <cfRule type="containsText" dxfId="2" priority="652" operator="containsText" text="IN PROGRESS">
      <formula>NOT(ISERROR(SEARCH("IN PROGRESS",E288)))</formula>
    </cfRule>
  </conditionalFormatting>
  <conditionalFormatting sqref="F130:F290">
    <cfRule type="expression" priority="693">
      <formula>SEARCH("BILLING DONE", #REF!) &gt; 0</formula>
    </cfRule>
    <cfRule type="expression" dxfId="1" priority="694">
      <formula>SEARCH("NOT BILLED", #REF!) &gt; 0</formula>
    </cfRule>
  </conditionalFormatting>
  <conditionalFormatting sqref="F347">
    <cfRule type="expression" priority="417">
      <formula>SEARCH("BILLING DONE", #REF!) &gt; 0</formula>
    </cfRule>
    <cfRule type="expression" dxfId="0" priority="418">
      <formula>SEARCH("NOT BILLED", #REF!) &gt; 0</formula>
    </cfRule>
  </conditionalFormatting>
  <dataValidations count="1">
    <dataValidation allowBlank="1" showInputMessage="1" showErrorMessage="1" promptTitle="DATE" prompt="JUST ENTER MM/DD" sqref="D78:D81 D183:D184 D31:D36 D83:D84 D94:D96 D22:D25 D44:D45 D52:D53 D69:D71 D90:D92 D108:D109 D5:D7 D17:D20 D27:D29 D47:D50 D55:D56 D58:D64 D66:D67 D98:D106 D111:D112 D114:D115 D124:D125 D73:D76 D119:D122 D145 D159 D157 D167:D168 D170:D171 D173:D174 D180:D181 D285:D286 D385:D386 D137:D139 D141:D143 D161:D165 D152:D155 D189 D87:D88 D282:D283 D288:D292 D186:D187 D147:D150 D382:D383 D302:D306 D315:D348 D38:D42 D199:D201 D191:D192 D194:D197 D388:D390 D295:D299 D176:D178 D9:D15 D127:D135 D279:D280 D309:D312 D367:D368 D355:D356 D351:D352 D370:D372 D374:D377 D379:D380 D392:D394" xr:uid="{00000000-0002-0000-0100-000000000000}">
      <formula1>0</formula1>
      <formula2>0</formula2>
    </dataValidation>
  </dataValidations>
  <pageMargins left="0.7" right="0.7" top="0.75" bottom="0.75" header="0.3" footer="0.3"/>
  <pageSetup paperSize="9" orientation="portrait" r:id="rId1"/>
  <ignoredErrors>
    <ignoredError sqref="D27:D29" twoDigitTextYear="1"/>
  </ignoredErrors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May 1st Week</vt:lpstr>
      <vt:lpstr>White Cap Work Schedule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RDS-1</dc:creator>
  <cp:lastModifiedBy>Ramesh Babu Bada</cp:lastModifiedBy>
  <cp:lastPrinted>2026-04-28T06:32:24Z</cp:lastPrinted>
  <dcterms:created xsi:type="dcterms:W3CDTF">2023-03-20T10:27:38Z</dcterms:created>
  <dcterms:modified xsi:type="dcterms:W3CDTF">2026-07-01T10:45:53Z</dcterms:modified>
</cp:coreProperties>
</file>